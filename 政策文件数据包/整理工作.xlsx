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章超涵\Desktop\sim-degree2.0\政策文件数据包\"/>
    </mc:Choice>
  </mc:AlternateContent>
  <xr:revisionPtr revIDLastSave="0" documentId="13_ncr:1_{5F420784-4307-4469-B4F8-82E2CE72D801}" xr6:coauthVersionLast="47" xr6:coauthVersionMax="47" xr10:uidLastSave="{00000000-0000-0000-0000-000000000000}"/>
  <bookViews>
    <workbookView xWindow="-120" yWindow="-120" windowWidth="38640" windowHeight="15720" tabRatio="919" activeTab="3" xr2:uid="{8C595365-9545-45C9-A8AE-7918F065E70E}"/>
  </bookViews>
  <sheets>
    <sheet name="分布" sheetId="1" r:id="rId1"/>
    <sheet name="Sheet2" sheetId="19" r:id="rId2"/>
    <sheet name="总表" sheetId="18" r:id="rId3"/>
    <sheet name="碳达峰（总）" sheetId="2" r:id="rId4"/>
    <sheet name="新发展理念" sheetId="3" r:id="rId5"/>
    <sheet name="工业领域" sheetId="5" r:id="rId6"/>
    <sheet name="城乡建设领域" sheetId="6" r:id="rId7"/>
    <sheet name="减污降碳" sheetId="7" r:id="rId8"/>
    <sheet name="绿色消费" sheetId="8" r:id="rId9"/>
    <sheet name="绿色低碳循环发展" sheetId="11" r:id="rId10"/>
    <sheet name="绿色低碳转型" sheetId="12" r:id="rId11"/>
    <sheet name="有色金属" sheetId="15" r:id="rId12"/>
    <sheet name="建材行业" sheetId="13" r:id="rId13"/>
    <sheet name="标准计量" sheetId="16" r:id="rId14"/>
    <sheet name="财政支持" sheetId="17" r:id="rId15"/>
    <sheet name="其他文献" sheetId="10" r:id="rId16"/>
    <sheet name="Sheet3" sheetId="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8" l="1"/>
  <c r="L2" i="18"/>
  <c r="M2" i="18"/>
  <c r="N2" i="18"/>
  <c r="O2" i="18"/>
  <c r="P2" i="18"/>
  <c r="Q2" i="18"/>
  <c r="R2" i="18"/>
  <c r="S2" i="18"/>
  <c r="T2" i="18"/>
  <c r="U2" i="18"/>
  <c r="K3" i="18"/>
  <c r="L3" i="18"/>
  <c r="M3" i="18"/>
  <c r="N3" i="18"/>
  <c r="O3" i="18"/>
  <c r="P3" i="18"/>
  <c r="Q3" i="18"/>
  <c r="R3" i="18"/>
  <c r="S3" i="18"/>
  <c r="T3" i="18"/>
  <c r="U3" i="18"/>
  <c r="K4" i="18"/>
  <c r="L4" i="18"/>
  <c r="M4" i="18"/>
  <c r="N4" i="18"/>
  <c r="O4" i="18"/>
  <c r="P4" i="18"/>
  <c r="Q4" i="18"/>
  <c r="R4" i="18"/>
  <c r="S4" i="18"/>
  <c r="T4" i="18"/>
  <c r="U4" i="18"/>
  <c r="K5" i="18"/>
  <c r="L5" i="18"/>
  <c r="M5" i="18"/>
  <c r="N5" i="18"/>
  <c r="O5" i="18"/>
  <c r="P5" i="18"/>
  <c r="Q5" i="18"/>
  <c r="R5" i="18"/>
  <c r="S5" i="18"/>
  <c r="T5" i="18"/>
  <c r="U5" i="18"/>
  <c r="K6" i="18"/>
  <c r="L6" i="18"/>
  <c r="M6" i="18"/>
  <c r="N6" i="18"/>
  <c r="O6" i="18"/>
  <c r="P6" i="18"/>
  <c r="Q6" i="18"/>
  <c r="R6" i="18"/>
  <c r="S6" i="18"/>
  <c r="T6" i="18"/>
  <c r="U6" i="18"/>
  <c r="K7" i="18"/>
  <c r="L7" i="18"/>
  <c r="M7" i="18"/>
  <c r="N7" i="18"/>
  <c r="O7" i="18"/>
  <c r="P7" i="18"/>
  <c r="Q7" i="18"/>
  <c r="R7" i="18"/>
  <c r="S7" i="18"/>
  <c r="T7" i="18"/>
  <c r="U7" i="18"/>
  <c r="K8" i="18"/>
  <c r="L8" i="18"/>
  <c r="M8" i="18"/>
  <c r="N8" i="18"/>
  <c r="O8" i="18"/>
  <c r="P8" i="18"/>
  <c r="Q8" i="18"/>
  <c r="R8" i="18"/>
  <c r="S8" i="18"/>
  <c r="T8" i="18"/>
  <c r="U8" i="18"/>
  <c r="K9" i="18"/>
  <c r="L9" i="18"/>
  <c r="M9" i="18"/>
  <c r="N9" i="18"/>
  <c r="O9" i="18"/>
  <c r="P9" i="18"/>
  <c r="Q9" i="18"/>
  <c r="R9" i="18"/>
  <c r="S9" i="18"/>
  <c r="T9" i="18"/>
  <c r="U9" i="18"/>
  <c r="K10" i="18"/>
  <c r="L10" i="18"/>
  <c r="M10" i="18"/>
  <c r="N10" i="18"/>
  <c r="O10" i="18"/>
  <c r="P10" i="18"/>
  <c r="Q10" i="18"/>
  <c r="R10" i="18"/>
  <c r="S10" i="18"/>
  <c r="T10" i="18"/>
  <c r="U10" i="18"/>
  <c r="K11" i="18"/>
  <c r="L11" i="18"/>
  <c r="M11" i="18"/>
  <c r="N11" i="18"/>
  <c r="O11" i="18"/>
  <c r="P11" i="18"/>
  <c r="Q11" i="18"/>
  <c r="R11" i="18"/>
  <c r="S11" i="18"/>
  <c r="T11" i="18"/>
  <c r="U11" i="18"/>
  <c r="K12" i="18"/>
  <c r="L12" i="18"/>
  <c r="M12" i="18"/>
  <c r="N12" i="18"/>
  <c r="O12" i="18"/>
  <c r="P12" i="18"/>
  <c r="Q12" i="18"/>
  <c r="R12" i="18"/>
  <c r="S12" i="18"/>
  <c r="T12" i="18"/>
  <c r="U12" i="18"/>
  <c r="K13" i="18"/>
  <c r="L13" i="18"/>
  <c r="M13" i="18"/>
  <c r="N13" i="18"/>
  <c r="O13" i="18"/>
  <c r="P13" i="18"/>
  <c r="Q13" i="18"/>
  <c r="R13" i="18"/>
  <c r="S13" i="18"/>
  <c r="T13" i="18"/>
  <c r="U13" i="18"/>
  <c r="K14" i="18"/>
  <c r="L14" i="18"/>
  <c r="M14" i="18"/>
  <c r="N14" i="18"/>
  <c r="O14" i="18"/>
  <c r="P14" i="18"/>
  <c r="Q14" i="18"/>
  <c r="R14" i="18"/>
  <c r="S14" i="18"/>
  <c r="T14" i="18"/>
  <c r="U14" i="18"/>
  <c r="K15" i="18"/>
  <c r="L15" i="18"/>
  <c r="M15" i="18"/>
  <c r="N15" i="18"/>
  <c r="O15" i="18"/>
  <c r="P15" i="18"/>
  <c r="Q15" i="18"/>
  <c r="R15" i="18"/>
  <c r="S15" i="18"/>
  <c r="T15" i="18"/>
  <c r="U15" i="18"/>
  <c r="K16" i="18"/>
  <c r="L16" i="18"/>
  <c r="M16" i="18"/>
  <c r="N16" i="18"/>
  <c r="O16" i="18"/>
  <c r="P16" i="18"/>
  <c r="Q16" i="18"/>
  <c r="R16" i="18"/>
  <c r="S16" i="18"/>
  <c r="T16" i="18"/>
  <c r="U16" i="18"/>
  <c r="K17" i="18"/>
  <c r="L17" i="18"/>
  <c r="M17" i="18"/>
  <c r="N17" i="18"/>
  <c r="O17" i="18"/>
  <c r="P17" i="18"/>
  <c r="Q17" i="18"/>
  <c r="R17" i="18"/>
  <c r="S17" i="18"/>
  <c r="T17" i="18"/>
  <c r="U17" i="18"/>
  <c r="K18" i="18"/>
  <c r="L18" i="18"/>
  <c r="M18" i="18"/>
  <c r="N18" i="18"/>
  <c r="O18" i="18"/>
  <c r="P18" i="18"/>
  <c r="Q18" i="18"/>
  <c r="R18" i="18"/>
  <c r="S18" i="18"/>
  <c r="T18" i="18"/>
  <c r="U18" i="18"/>
  <c r="K19" i="18"/>
  <c r="L19" i="18"/>
  <c r="M19" i="18"/>
  <c r="N19" i="18"/>
  <c r="O19" i="18"/>
  <c r="P19" i="18"/>
  <c r="Q19" i="18"/>
  <c r="R19" i="18"/>
  <c r="S19" i="18"/>
  <c r="T19" i="18"/>
  <c r="U19" i="18"/>
  <c r="K20" i="18"/>
  <c r="L20" i="18"/>
  <c r="M20" i="18"/>
  <c r="N20" i="18"/>
  <c r="O20" i="18"/>
  <c r="P20" i="18"/>
  <c r="Q20" i="18"/>
  <c r="R20" i="18"/>
  <c r="S20" i="18"/>
  <c r="T20" i="18"/>
  <c r="U20" i="18"/>
  <c r="K21" i="18"/>
  <c r="L21" i="18"/>
  <c r="M21" i="18"/>
  <c r="N21" i="18"/>
  <c r="O21" i="18"/>
  <c r="P21" i="18"/>
  <c r="Q21" i="18"/>
  <c r="R21" i="18"/>
  <c r="S21" i="18"/>
  <c r="T21" i="18"/>
  <c r="U21" i="18"/>
  <c r="K22" i="18"/>
  <c r="L22" i="18"/>
  <c r="M22" i="18"/>
  <c r="N22" i="18"/>
  <c r="O22" i="18"/>
  <c r="P22" i="18"/>
  <c r="Q22" i="18"/>
  <c r="R22" i="18"/>
  <c r="S22" i="18"/>
  <c r="T22" i="18"/>
  <c r="U22" i="18"/>
  <c r="K23" i="18"/>
  <c r="L23" i="18"/>
  <c r="M23" i="18"/>
  <c r="N23" i="18"/>
  <c r="O23" i="18"/>
  <c r="P23" i="18"/>
  <c r="Q23" i="18"/>
  <c r="R23" i="18"/>
  <c r="S23" i="18"/>
  <c r="T23" i="18"/>
  <c r="U23" i="18"/>
  <c r="K24" i="18"/>
  <c r="L24" i="18"/>
  <c r="M24" i="18"/>
  <c r="N24" i="18"/>
  <c r="O24" i="18"/>
  <c r="P24" i="18"/>
  <c r="Q24" i="18"/>
  <c r="R24" i="18"/>
  <c r="S24" i="18"/>
  <c r="T24" i="18"/>
  <c r="U24" i="18"/>
  <c r="K25" i="18"/>
  <c r="L25" i="18"/>
  <c r="M25" i="18"/>
  <c r="N25" i="18"/>
  <c r="O25" i="18"/>
  <c r="P25" i="18"/>
  <c r="Q25" i="18"/>
  <c r="R25" i="18"/>
  <c r="S25" i="18"/>
  <c r="T25" i="18"/>
  <c r="U25" i="18"/>
  <c r="K26" i="18"/>
  <c r="L26" i="18"/>
  <c r="M26" i="18"/>
  <c r="N26" i="18"/>
  <c r="O26" i="18"/>
  <c r="P26" i="18"/>
  <c r="Q26" i="18"/>
  <c r="R26" i="18"/>
  <c r="S26" i="18"/>
  <c r="T26" i="18"/>
  <c r="U26" i="18"/>
  <c r="K27" i="18"/>
  <c r="L27" i="18"/>
  <c r="M27" i="18"/>
  <c r="N27" i="18"/>
  <c r="O27" i="18"/>
  <c r="P27" i="18"/>
  <c r="Q27" i="18"/>
  <c r="R27" i="18"/>
  <c r="S27" i="18"/>
  <c r="T27" i="18"/>
  <c r="U27" i="18"/>
  <c r="K28" i="18"/>
  <c r="L28" i="18"/>
  <c r="M28" i="18"/>
  <c r="N28" i="18"/>
  <c r="O28" i="18"/>
  <c r="P28" i="18"/>
  <c r="Q28" i="18"/>
  <c r="R28" i="18"/>
  <c r="S28" i="18"/>
  <c r="T28" i="18"/>
  <c r="U28" i="18"/>
  <c r="K29" i="18"/>
  <c r="L29" i="18"/>
  <c r="M29" i="18"/>
  <c r="N29" i="18"/>
  <c r="O29" i="18"/>
  <c r="P29" i="18"/>
  <c r="Q29" i="18"/>
  <c r="R29" i="18"/>
  <c r="S29" i="18"/>
  <c r="T29" i="18"/>
  <c r="U29" i="18"/>
  <c r="K30" i="18"/>
  <c r="L30" i="18"/>
  <c r="M30" i="18"/>
  <c r="N30" i="18"/>
  <c r="O30" i="18"/>
  <c r="P30" i="18"/>
  <c r="Q30" i="18"/>
  <c r="R30" i="18"/>
  <c r="S30" i="18"/>
  <c r="T30" i="18"/>
  <c r="U30" i="18"/>
  <c r="K31" i="18"/>
  <c r="L31" i="18"/>
  <c r="M31" i="18"/>
  <c r="N31" i="18"/>
  <c r="O31" i="18"/>
  <c r="P31" i="18"/>
  <c r="Q31" i="18"/>
  <c r="R31" i="18"/>
  <c r="S31" i="18"/>
  <c r="T31" i="18"/>
  <c r="U31" i="18"/>
  <c r="K32" i="18"/>
  <c r="L32" i="18"/>
  <c r="M32" i="18"/>
  <c r="N32" i="18"/>
  <c r="O32" i="18"/>
  <c r="P32" i="18"/>
  <c r="Q32" i="18"/>
  <c r="R32" i="18"/>
  <c r="S32" i="18"/>
  <c r="T32" i="18"/>
  <c r="U32" i="18"/>
  <c r="K33" i="18"/>
  <c r="L33" i="18"/>
  <c r="M33" i="18"/>
  <c r="N33" i="18"/>
  <c r="O33" i="18"/>
  <c r="P33" i="18"/>
  <c r="Q33" i="18"/>
  <c r="R33" i="18"/>
  <c r="S33" i="18"/>
  <c r="T33" i="18"/>
  <c r="U33" i="18"/>
  <c r="K34" i="18"/>
  <c r="L34" i="18"/>
  <c r="M34" i="18"/>
  <c r="N34" i="18"/>
  <c r="O34" i="18"/>
  <c r="P34" i="18"/>
  <c r="Q34" i="18"/>
  <c r="R34" i="18"/>
  <c r="S34" i="18"/>
  <c r="T34" i="18"/>
  <c r="U34" i="18"/>
  <c r="K35" i="18"/>
  <c r="L35" i="18"/>
  <c r="M35" i="18"/>
  <c r="N35" i="18"/>
  <c r="O35" i="18"/>
  <c r="P35" i="18"/>
  <c r="Q35" i="18"/>
  <c r="R35" i="18"/>
  <c r="S35" i="18"/>
  <c r="T35" i="18"/>
  <c r="U35" i="18"/>
  <c r="K36" i="18"/>
  <c r="L36" i="18"/>
  <c r="M36" i="18"/>
  <c r="N36" i="18"/>
  <c r="O36" i="18"/>
  <c r="P36" i="18"/>
  <c r="Q36" i="18"/>
  <c r="R36" i="18"/>
  <c r="S36" i="18"/>
  <c r="T36" i="18"/>
  <c r="U36" i="18"/>
  <c r="K37" i="18"/>
  <c r="L37" i="18"/>
  <c r="M37" i="18"/>
  <c r="N37" i="18"/>
  <c r="O37" i="18"/>
  <c r="P37" i="18"/>
  <c r="Q37" i="18"/>
  <c r="R37" i="18"/>
  <c r="S37" i="18"/>
  <c r="T37" i="18"/>
  <c r="U37" i="18"/>
  <c r="K38" i="18"/>
  <c r="L38" i="18"/>
  <c r="M38" i="18"/>
  <c r="N38" i="18"/>
  <c r="O38" i="18"/>
  <c r="P38" i="18"/>
  <c r="Q38" i="18"/>
  <c r="R38" i="18"/>
  <c r="S38" i="18"/>
  <c r="T38" i="18"/>
  <c r="U38" i="18"/>
  <c r="K39" i="18"/>
  <c r="L39" i="18"/>
  <c r="M39" i="18"/>
  <c r="N39" i="18"/>
  <c r="O39" i="18"/>
  <c r="P39" i="18"/>
  <c r="Q39" i="18"/>
  <c r="R39" i="18"/>
  <c r="S39" i="18"/>
  <c r="T39" i="18"/>
  <c r="U39" i="18"/>
  <c r="K40" i="18"/>
  <c r="L40" i="18"/>
  <c r="M40" i="18"/>
  <c r="N40" i="18"/>
  <c r="O40" i="18"/>
  <c r="P40" i="18"/>
  <c r="Q40" i="18"/>
  <c r="R40" i="18"/>
  <c r="S40" i="18"/>
  <c r="T40" i="18"/>
  <c r="U40" i="18"/>
  <c r="K41" i="18"/>
  <c r="L41" i="18"/>
  <c r="M41" i="18"/>
  <c r="N41" i="18"/>
  <c r="O41" i="18"/>
  <c r="P41" i="18"/>
  <c r="Q41" i="18"/>
  <c r="R41" i="18"/>
  <c r="S41" i="18"/>
  <c r="T41" i="18"/>
  <c r="U41" i="18"/>
  <c r="K42" i="18"/>
  <c r="L42" i="18"/>
  <c r="M42" i="18"/>
  <c r="N42" i="18"/>
  <c r="O42" i="18"/>
  <c r="P42" i="18"/>
  <c r="Q42" i="18"/>
  <c r="R42" i="18"/>
  <c r="S42" i="18"/>
  <c r="T42" i="18"/>
  <c r="U42" i="18"/>
  <c r="K43" i="18"/>
  <c r="L43" i="18"/>
  <c r="M43" i="18"/>
  <c r="N43" i="18"/>
  <c r="O43" i="18"/>
  <c r="P43" i="18"/>
  <c r="Q43" i="18"/>
  <c r="R43" i="18"/>
  <c r="S43" i="18"/>
  <c r="T43" i="18"/>
  <c r="U43" i="18"/>
  <c r="K44" i="18"/>
  <c r="L44" i="18"/>
  <c r="M44" i="18"/>
  <c r="N44" i="18"/>
  <c r="O44" i="18"/>
  <c r="P44" i="18"/>
  <c r="Q44" i="18"/>
  <c r="R44" i="18"/>
  <c r="S44" i="18"/>
  <c r="T44" i="18"/>
  <c r="U44" i="18"/>
  <c r="J3" i="18"/>
  <c r="J4" i="18"/>
  <c r="V4" i="18" s="1"/>
  <c r="J5" i="18"/>
  <c r="J6" i="18"/>
  <c r="V6" i="18" s="1"/>
  <c r="J7" i="18"/>
  <c r="J8" i="18"/>
  <c r="V8" i="18" s="1"/>
  <c r="J9" i="18"/>
  <c r="V9" i="18" s="1"/>
  <c r="J10" i="18"/>
  <c r="J11" i="18"/>
  <c r="J12" i="18"/>
  <c r="J13" i="18"/>
  <c r="V13" i="18" s="1"/>
  <c r="J14" i="18"/>
  <c r="J15" i="18"/>
  <c r="J16" i="18"/>
  <c r="J17" i="18"/>
  <c r="J18" i="18"/>
  <c r="J19" i="18"/>
  <c r="J20" i="18"/>
  <c r="J21" i="18"/>
  <c r="J22" i="18"/>
  <c r="V22" i="18" s="1"/>
  <c r="J23" i="18"/>
  <c r="J24" i="18"/>
  <c r="V24" i="18" s="1"/>
  <c r="J25" i="18"/>
  <c r="J26" i="18"/>
  <c r="V26" i="18" s="1"/>
  <c r="J27" i="18"/>
  <c r="J28" i="18"/>
  <c r="V28" i="18" s="1"/>
  <c r="J29" i="18"/>
  <c r="V29" i="18" s="1"/>
  <c r="J30" i="18"/>
  <c r="J31" i="18"/>
  <c r="J32" i="18"/>
  <c r="J33" i="18"/>
  <c r="V33" i="18" s="1"/>
  <c r="J34" i="18"/>
  <c r="J35" i="18"/>
  <c r="J36" i="18"/>
  <c r="J37" i="18"/>
  <c r="J38" i="18"/>
  <c r="J39" i="18"/>
  <c r="J40" i="18"/>
  <c r="J41" i="18"/>
  <c r="J42" i="18"/>
  <c r="V42" i="18" s="1"/>
  <c r="J43" i="18"/>
  <c r="J44" i="18"/>
  <c r="V44" i="18" s="1"/>
  <c r="J2" i="18"/>
  <c r="V2" i="18" s="1"/>
  <c r="E2"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V27" i="18" l="1"/>
  <c r="V25" i="18"/>
  <c r="V40" i="18"/>
  <c r="V20" i="18"/>
  <c r="V39" i="18"/>
  <c r="V19" i="18"/>
  <c r="V38" i="18"/>
  <c r="V43" i="18"/>
  <c r="V41" i="18"/>
  <c r="V37" i="18"/>
  <c r="V17" i="18"/>
  <c r="V36" i="18"/>
  <c r="V16" i="18"/>
  <c r="V21" i="18"/>
  <c r="V35" i="18"/>
  <c r="V15" i="18"/>
  <c r="V23" i="18"/>
  <c r="V18" i="18"/>
  <c r="V34" i="18"/>
  <c r="V14" i="18"/>
  <c r="V7" i="18"/>
  <c r="V5" i="18"/>
  <c r="V12" i="18"/>
  <c r="V32" i="18"/>
  <c r="V31" i="18"/>
  <c r="V11" i="18"/>
  <c r="V30" i="18"/>
  <c r="V10" i="18"/>
  <c r="J45" i="18"/>
  <c r="O45" i="18"/>
  <c r="N45" i="18"/>
  <c r="R45" i="18"/>
  <c r="T45" i="18"/>
  <c r="K45" i="18"/>
  <c r="M45" i="18"/>
  <c r="Q45" i="18"/>
  <c r="S45" i="18"/>
  <c r="U45" i="18"/>
  <c r="L45" i="18"/>
  <c r="P45" i="18"/>
  <c r="V3" i="18"/>
  <c r="V45" i="18" l="1"/>
</calcChain>
</file>

<file path=xl/sharedStrings.xml><?xml version="1.0" encoding="utf-8"?>
<sst xmlns="http://schemas.openxmlformats.org/spreadsheetml/2006/main" count="2226" uniqueCount="697">
  <si>
    <t>碳达峰（总）</t>
    <phoneticPr fontId="1" type="noConversion"/>
  </si>
  <si>
    <t>新发展理念</t>
    <phoneticPr fontId="1" type="noConversion"/>
  </si>
  <si>
    <t>工业领域</t>
    <phoneticPr fontId="1" type="noConversion"/>
  </si>
  <si>
    <t>城乡建设领域</t>
    <phoneticPr fontId="1" type="noConversion"/>
  </si>
  <si>
    <t>减污降碳</t>
    <phoneticPr fontId="1" type="noConversion"/>
  </si>
  <si>
    <t>绿色消费</t>
    <phoneticPr fontId="1" type="noConversion"/>
  </si>
  <si>
    <t>绿色低碳循环发展</t>
    <phoneticPr fontId="1" type="noConversion"/>
  </si>
  <si>
    <t>绿色低碳转型</t>
    <phoneticPr fontId="1" type="noConversion"/>
  </si>
  <si>
    <t>建材行业</t>
    <phoneticPr fontId="1" type="noConversion"/>
  </si>
  <si>
    <t>有色金属</t>
    <phoneticPr fontId="1" type="noConversion"/>
  </si>
  <si>
    <t>标准计量</t>
    <phoneticPr fontId="1" type="noConversion"/>
  </si>
  <si>
    <t>财政支持</t>
    <phoneticPr fontId="1" type="noConversion"/>
  </si>
  <si>
    <t>北京</t>
    <phoneticPr fontId="1" type="noConversion"/>
  </si>
  <si>
    <t>天津</t>
    <phoneticPr fontId="1" type="noConversion"/>
  </si>
  <si>
    <t>上海</t>
    <phoneticPr fontId="1" type="noConversion"/>
  </si>
  <si>
    <t>重庆</t>
    <phoneticPr fontId="1" type="noConversion"/>
  </si>
  <si>
    <t>河北</t>
    <phoneticPr fontId="1" type="noConversion"/>
  </si>
  <si>
    <t>山西</t>
    <phoneticPr fontId="1" type="noConversion"/>
  </si>
  <si>
    <t>辽宁</t>
    <phoneticPr fontId="1" type="noConversion"/>
  </si>
  <si>
    <t>吉林</t>
    <phoneticPr fontId="1" type="noConversion"/>
  </si>
  <si>
    <t>黑龙江</t>
    <phoneticPr fontId="1" type="noConversion"/>
  </si>
  <si>
    <t>江苏</t>
    <phoneticPr fontId="1" type="noConversion"/>
  </si>
  <si>
    <t>浙江</t>
    <phoneticPr fontId="1" type="noConversion"/>
  </si>
  <si>
    <t>安徽</t>
    <phoneticPr fontId="1" type="noConversion"/>
  </si>
  <si>
    <t>福建</t>
    <phoneticPr fontId="1" type="noConversion"/>
  </si>
  <si>
    <t>江西</t>
    <phoneticPr fontId="1" type="noConversion"/>
  </si>
  <si>
    <t>山东</t>
    <phoneticPr fontId="1" type="noConversion"/>
  </si>
  <si>
    <t>河南</t>
    <phoneticPr fontId="1" type="noConversion"/>
  </si>
  <si>
    <t>湖北</t>
    <phoneticPr fontId="1" type="noConversion"/>
  </si>
  <si>
    <t>湖南</t>
    <phoneticPr fontId="1" type="noConversion"/>
  </si>
  <si>
    <t>广东</t>
    <phoneticPr fontId="1" type="noConversion"/>
  </si>
  <si>
    <t>海南</t>
    <phoneticPr fontId="1" type="noConversion"/>
  </si>
  <si>
    <t>四川</t>
    <phoneticPr fontId="1" type="noConversion"/>
  </si>
  <si>
    <t>贵州</t>
    <phoneticPr fontId="1" type="noConversion"/>
  </si>
  <si>
    <t>云南</t>
    <phoneticPr fontId="1" type="noConversion"/>
  </si>
  <si>
    <t>陕西</t>
    <phoneticPr fontId="1" type="noConversion"/>
  </si>
  <si>
    <t>甘肃</t>
    <phoneticPr fontId="1" type="noConversion"/>
  </si>
  <si>
    <t>青海</t>
    <phoneticPr fontId="1" type="noConversion"/>
  </si>
  <si>
    <t>西藏</t>
    <phoneticPr fontId="1" type="noConversion"/>
  </si>
  <si>
    <t>内蒙古</t>
    <phoneticPr fontId="1" type="noConversion"/>
  </si>
  <si>
    <t>广西</t>
    <phoneticPr fontId="1" type="noConversion"/>
  </si>
  <si>
    <t>宁夏</t>
    <phoneticPr fontId="1" type="noConversion"/>
  </si>
  <si>
    <t>新疆</t>
    <phoneticPr fontId="1" type="noConversion"/>
  </si>
  <si>
    <t>香港</t>
    <phoneticPr fontId="1" type="noConversion"/>
  </si>
  <si>
    <t>澳门</t>
    <phoneticPr fontId="1" type="noConversion"/>
  </si>
  <si>
    <t>台湾</t>
    <phoneticPr fontId="1" type="noConversion"/>
  </si>
  <si>
    <t>地方</t>
    <phoneticPr fontId="1" type="noConversion"/>
  </si>
  <si>
    <t>文件名</t>
    <phoneticPr fontId="1" type="noConversion"/>
  </si>
  <si>
    <t>时间</t>
    <phoneticPr fontId="1" type="noConversion"/>
  </si>
  <si>
    <t>时序</t>
    <phoneticPr fontId="1" type="noConversion"/>
  </si>
  <si>
    <t>中央</t>
    <phoneticPr fontId="1" type="noConversion"/>
  </si>
  <si>
    <t>2030年前碳达峰行动方案</t>
  </si>
  <si>
    <t>北京市碳达峰实施方案</t>
  </si>
  <si>
    <t>天津市碳达峰实施方案</t>
    <phoneticPr fontId="1" type="noConversion"/>
  </si>
  <si>
    <t>备注</t>
    <phoneticPr fontId="1" type="noConversion"/>
  </si>
  <si>
    <t>上海市碳达峰实施方案</t>
    <phoneticPr fontId="1" type="noConversion"/>
  </si>
  <si>
    <t>河北省碳达峰实施方案</t>
    <phoneticPr fontId="1" type="noConversion"/>
  </si>
  <si>
    <t>山西省碳达峰实施方案</t>
    <phoneticPr fontId="1" type="noConversion"/>
  </si>
  <si>
    <t>辽宁省碳达峰实施方案</t>
    <phoneticPr fontId="1" type="noConversion"/>
  </si>
  <si>
    <t>吉林省碳达峰实施方案</t>
    <phoneticPr fontId="1" type="noConversion"/>
  </si>
  <si>
    <t>江苏省碳达峰实施方案</t>
    <phoneticPr fontId="1" type="noConversion"/>
  </si>
  <si>
    <t>安徽省碳达峰实施方案</t>
    <phoneticPr fontId="1" type="noConversion"/>
  </si>
  <si>
    <t>江西省碳达峰实施方案</t>
    <phoneticPr fontId="1" type="noConversion"/>
  </si>
  <si>
    <t>山东省碳达峰实施方案</t>
    <phoneticPr fontId="1" type="noConversion"/>
  </si>
  <si>
    <t>河南省碳达峰实施方案</t>
    <phoneticPr fontId="1" type="noConversion"/>
  </si>
  <si>
    <t>湖南省碳达峰实施方案</t>
    <phoneticPr fontId="1" type="noConversion"/>
  </si>
  <si>
    <t>广东省碳达峰实施方案</t>
    <phoneticPr fontId="1" type="noConversion"/>
  </si>
  <si>
    <t>海南省碳达峰实施方案</t>
    <phoneticPr fontId="1" type="noConversion"/>
  </si>
  <si>
    <t>四川省碳达峰实施方案</t>
    <phoneticPr fontId="1" type="noConversion"/>
  </si>
  <si>
    <t>贵州省碳达峰实施方案</t>
    <phoneticPr fontId="1" type="noConversion"/>
  </si>
  <si>
    <t>云南省碳达峰实施方案</t>
    <phoneticPr fontId="1" type="noConversion"/>
  </si>
  <si>
    <t>陕西省碳达峰实施方案</t>
    <phoneticPr fontId="1" type="noConversion"/>
  </si>
  <si>
    <t>甘肃省碳达峰实施方案</t>
    <phoneticPr fontId="1" type="noConversion"/>
  </si>
  <si>
    <t>青海省碳达峰实施方案</t>
    <phoneticPr fontId="1" type="noConversion"/>
  </si>
  <si>
    <t>内蒙古自治区碳达峰实施方案</t>
    <phoneticPr fontId="1" type="noConversion"/>
  </si>
  <si>
    <t>广西壮族自治区碳达峰实施方案</t>
    <phoneticPr fontId="1" type="noConversion"/>
  </si>
  <si>
    <t>宁夏回族自治区碳达峰实施方案</t>
    <phoneticPr fontId="1" type="noConversion"/>
  </si>
  <si>
    <t>中共中央、国务院关于完整准确全面贯彻新发展理念做好碳达峰碳中和工作的意见</t>
    <phoneticPr fontId="1" type="noConversion"/>
  </si>
  <si>
    <t>上海市关于完整准确全面贯彻新发展理念做好碳达峰碳中和工作的意见</t>
    <phoneticPr fontId="1" type="noConversion"/>
  </si>
  <si>
    <t>重庆市关于完整准确全面贯彻新发展理念做好碳达峰碳中和工作的意见</t>
    <phoneticPr fontId="1" type="noConversion"/>
  </si>
  <si>
    <t>河北省关于完整准确全面贯彻新发展理念做好碳达峰碳中和工作的意见</t>
    <phoneticPr fontId="1" type="noConversion"/>
  </si>
  <si>
    <t>山西省关于完整准确全面贯彻新发展理念做好碳达峰碳中和工作的意见</t>
    <phoneticPr fontId="1" type="noConversion"/>
  </si>
  <si>
    <t>吉林省关于完整准确全面贯彻新发展理念做好碳达峰碳中和工作的意见</t>
    <phoneticPr fontId="1" type="noConversion"/>
  </si>
  <si>
    <t>江苏省关于完整准确全面贯彻新发展理念做好碳达峰碳中和工作的意见</t>
    <phoneticPr fontId="1" type="noConversion"/>
  </si>
  <si>
    <t>浙江省关于完整准确全面贯彻新发展理念做好碳达峰碳中和工作的意见</t>
    <phoneticPr fontId="1" type="noConversion"/>
  </si>
  <si>
    <t>安徽省关于完整准确全面贯彻新发展理念做好碳达峰碳中和工作的意见</t>
    <phoneticPr fontId="1" type="noConversion"/>
  </si>
  <si>
    <t>福建省关于完整准确全面贯彻新发展理念做好碳达峰碳中和工作的实施意见</t>
  </si>
  <si>
    <t>江西省关于完整准确全面贯彻新发展理念做好碳达峰碳中和工作的实施意见</t>
    <phoneticPr fontId="1" type="noConversion"/>
  </si>
  <si>
    <t>湖南省关于完整准确全面贯彻新发展理念做好碳达峰碳中和工作的实施意见</t>
    <phoneticPr fontId="1" type="noConversion"/>
  </si>
  <si>
    <t>广东省关于完整准确全面贯彻新发展理念推进碳达峰碳中和工作的实施意见</t>
    <phoneticPr fontId="1" type="noConversion"/>
  </si>
  <si>
    <t>四川省关于完整准确全面贯彻新发展理念推进碳达峰碳中和工作的实施意见</t>
    <phoneticPr fontId="1" type="noConversion"/>
  </si>
  <si>
    <t>云南省关于完整准确全面贯彻新发展理念推进碳达峰碳中和工作的实施意见</t>
    <phoneticPr fontId="1" type="noConversion"/>
  </si>
  <si>
    <t>陕西省关于完整准确全面贯彻新发展理念推进碳达峰碳中和工作的实施意见</t>
    <phoneticPr fontId="1" type="noConversion"/>
  </si>
  <si>
    <t>青海省关于完整准确全面贯彻新发展理念推进碳达峰碳中和工作的实施意见</t>
    <phoneticPr fontId="1" type="noConversion"/>
  </si>
  <si>
    <t>内蒙古自治区关于完整准确全面贯彻新发展理念做好碳达峰碳中和工作的实施意见</t>
    <phoneticPr fontId="1" type="noConversion"/>
  </si>
  <si>
    <t>广西壮族自治区关于完整准确全面贯彻新发展理念做好碳达峰碳中和工作的实施意见</t>
    <phoneticPr fontId="1" type="noConversion"/>
  </si>
  <si>
    <t>宁夏回族自治区关于完整准确全面贯彻新发展理念做好碳达峰碳中和工作的实施意见</t>
    <phoneticPr fontId="1" type="noConversion"/>
  </si>
  <si>
    <t>山东省贯彻落实《意见》的若干措施</t>
    <phoneticPr fontId="1" type="noConversion"/>
  </si>
  <si>
    <t>天津市工业领域碳达峰实施方案</t>
  </si>
  <si>
    <t>工业领域碳达峰实施方案</t>
  </si>
  <si>
    <t>上海市工业领域碳达峰实施方案</t>
    <phoneticPr fontId="1" type="noConversion"/>
  </si>
  <si>
    <t>重庆市工业领域碳达峰实施方案</t>
    <phoneticPr fontId="1" type="noConversion"/>
  </si>
  <si>
    <t>河北省工业领域碳达峰实施方案</t>
    <phoneticPr fontId="1" type="noConversion"/>
  </si>
  <si>
    <t>山西省工业领域碳达峰实施方案</t>
    <phoneticPr fontId="1" type="noConversion"/>
  </si>
  <si>
    <t>吉林省工业领域碳达峰实施方案</t>
    <phoneticPr fontId="1" type="noConversion"/>
  </si>
  <si>
    <t>黑龙江省工业领域碳达峰实施方案</t>
    <phoneticPr fontId="1" type="noConversion"/>
  </si>
  <si>
    <t>江苏省工业领域及重点行业碳达峰实施方案</t>
  </si>
  <si>
    <t>浙江省工业领域碳达峰实施方案</t>
    <phoneticPr fontId="1" type="noConversion"/>
  </si>
  <si>
    <t>安徽省工业领域碳达峰实施方案</t>
    <phoneticPr fontId="1" type="noConversion"/>
  </si>
  <si>
    <t>福建省工业领域碳达峰实施方案</t>
    <phoneticPr fontId="1" type="noConversion"/>
  </si>
  <si>
    <t>江西省工业领域碳达峰实施方案</t>
    <phoneticPr fontId="1" type="noConversion"/>
  </si>
  <si>
    <t>山东省工业领域碳达峰工作方案</t>
    <phoneticPr fontId="1" type="noConversion"/>
  </si>
  <si>
    <t>河南省工业领域碳达峰实施方案</t>
    <phoneticPr fontId="1" type="noConversion"/>
  </si>
  <si>
    <t>湖南省工业领域碳达峰实施方案</t>
    <phoneticPr fontId="1" type="noConversion"/>
  </si>
  <si>
    <t>四川省工业领域碳达峰实施方案</t>
    <phoneticPr fontId="1" type="noConversion"/>
  </si>
  <si>
    <t>贵州省工业领域碳达峰实施方案</t>
    <phoneticPr fontId="1" type="noConversion"/>
  </si>
  <si>
    <t>云南省工业领域碳达峰实施方案</t>
    <phoneticPr fontId="1" type="noConversion"/>
  </si>
  <si>
    <t>陕西省工业领域碳达峰实施方案</t>
    <phoneticPr fontId="1" type="noConversion"/>
  </si>
  <si>
    <t>青海省工业领域碳达峰实施方案</t>
    <phoneticPr fontId="1" type="noConversion"/>
  </si>
  <si>
    <t>西藏自治区工业领域碳达峰实施方案</t>
  </si>
  <si>
    <t>内蒙古自治区工业领域碳达峰实施方案</t>
    <phoneticPr fontId="1" type="noConversion"/>
  </si>
  <si>
    <t>广西壮族自治区工业领域碳达峰实施方案</t>
    <phoneticPr fontId="1" type="noConversion"/>
  </si>
  <si>
    <t>新疆维吾尔族自治区工业领域碳达峰实施方案</t>
    <phoneticPr fontId="1" type="noConversion"/>
  </si>
  <si>
    <t>城乡建设领域碳达峰实施方案</t>
  </si>
  <si>
    <t>天津市城乡建设领域碳达峰实施方案</t>
    <phoneticPr fontId="1" type="noConversion"/>
  </si>
  <si>
    <t>上海市城乡建设领域碳达峰实施方案</t>
    <phoneticPr fontId="1" type="noConversion"/>
  </si>
  <si>
    <t>重庆市城乡建设领域碳达峰实施方案</t>
    <phoneticPr fontId="1" type="noConversion"/>
  </si>
  <si>
    <t>河北省城乡建设领域碳达峰实施方案</t>
    <phoneticPr fontId="1" type="noConversion"/>
  </si>
  <si>
    <t>山西省城乡建设领域碳达峰实施方案</t>
    <phoneticPr fontId="1" type="noConversion"/>
  </si>
  <si>
    <t>辽宁省城乡建设领域碳达峰实施方案</t>
    <phoneticPr fontId="1" type="noConversion"/>
  </si>
  <si>
    <t>吉林省城乡建设领域碳达峰实施方案</t>
    <phoneticPr fontId="1" type="noConversion"/>
  </si>
  <si>
    <t>黑龙江省城乡建设领域碳达峰实施方案</t>
    <phoneticPr fontId="1" type="noConversion"/>
  </si>
  <si>
    <t>江苏省城乡建设领域碳达峰实施方案</t>
    <phoneticPr fontId="1" type="noConversion"/>
  </si>
  <si>
    <t>安徽省城乡建设领域碳达峰实施方案</t>
    <phoneticPr fontId="1" type="noConversion"/>
  </si>
  <si>
    <t>福建省城乡建设领域碳达峰实施方案</t>
    <phoneticPr fontId="1" type="noConversion"/>
  </si>
  <si>
    <t>江西省城乡建设领域碳达峰实施方案</t>
    <phoneticPr fontId="1" type="noConversion"/>
  </si>
  <si>
    <t>山东省城乡建设领域碳达峰实施方案</t>
    <phoneticPr fontId="1" type="noConversion"/>
  </si>
  <si>
    <t>河南省城乡建设领域碳达峰实施方案</t>
    <phoneticPr fontId="1" type="noConversion"/>
  </si>
  <si>
    <t>湖北省城乡建设领域碳达峰实施方案</t>
    <phoneticPr fontId="1" type="noConversion"/>
  </si>
  <si>
    <t>湖南省城乡建设领域碳达峰实施方案</t>
    <phoneticPr fontId="1" type="noConversion"/>
  </si>
  <si>
    <t>广东省城乡建设领域碳达峰实施方案</t>
    <phoneticPr fontId="1" type="noConversion"/>
  </si>
  <si>
    <t>四川省城乡建设领域碳达峰专项行动方案</t>
  </si>
  <si>
    <t>贵州省城乡建设领域碳达峰实施方案</t>
    <phoneticPr fontId="1" type="noConversion"/>
  </si>
  <si>
    <t>云南省城乡建设领域碳达峰实施方案</t>
    <phoneticPr fontId="1" type="noConversion"/>
  </si>
  <si>
    <t>青海省城乡建设领域碳达峰实施方案</t>
    <phoneticPr fontId="1" type="noConversion"/>
  </si>
  <si>
    <t>广西壮族自治区城乡建设领域碳达峰实施方案</t>
    <phoneticPr fontId="1" type="noConversion"/>
  </si>
  <si>
    <t>宁夏回族自治区城乡建设领域碳达峰实施方案</t>
    <phoneticPr fontId="1" type="noConversion"/>
  </si>
  <si>
    <t>新疆维吾尔族自治区城乡建设领域碳达峰实施方案</t>
    <phoneticPr fontId="1" type="noConversion"/>
  </si>
  <si>
    <t>减污降碳协同增效实施方案</t>
    <phoneticPr fontId="1" type="noConversion"/>
  </si>
  <si>
    <t>北京市减污降碳协同增效实施方案</t>
  </si>
  <si>
    <t>天津市减污降碳协同增效实施方案</t>
    <phoneticPr fontId="1" type="noConversion"/>
  </si>
  <si>
    <t>上海市减污降碳协同增效实施方案</t>
    <phoneticPr fontId="1" type="noConversion"/>
  </si>
  <si>
    <t>重庆市减污降碳协同增效实施方案</t>
    <phoneticPr fontId="1" type="noConversion"/>
  </si>
  <si>
    <t>河北省减污降碳协同增效实施方案</t>
    <phoneticPr fontId="1" type="noConversion"/>
  </si>
  <si>
    <t>山西省减污降碳协同增效实施方案</t>
    <phoneticPr fontId="1" type="noConversion"/>
  </si>
  <si>
    <t>辽宁省减污降碳协同增效实施方案</t>
    <phoneticPr fontId="1" type="noConversion"/>
  </si>
  <si>
    <t>吉林省减污降碳协同增效实施方案</t>
    <phoneticPr fontId="1" type="noConversion"/>
  </si>
  <si>
    <t>黑龙江省减污降碳协同增效实施方案</t>
    <phoneticPr fontId="1" type="noConversion"/>
  </si>
  <si>
    <t>江苏省减污降碳协同增效实施方案</t>
    <phoneticPr fontId="1" type="noConversion"/>
  </si>
  <si>
    <t>浙江省减污降碳协同增效实施方案</t>
    <phoneticPr fontId="1" type="noConversion"/>
  </si>
  <si>
    <t>福建省减污降碳协同增效实施方案</t>
  </si>
  <si>
    <t>江西省减污降碳协同增效实施方案</t>
    <phoneticPr fontId="1" type="noConversion"/>
  </si>
  <si>
    <t>山东省减污降碳协同增效实施方案</t>
    <phoneticPr fontId="1" type="noConversion"/>
  </si>
  <si>
    <t>河南省减污降碳协同增效实施方案</t>
    <phoneticPr fontId="1" type="noConversion"/>
  </si>
  <si>
    <t>湖南省减污降碳协同增效实施方案</t>
    <phoneticPr fontId="1" type="noConversion"/>
  </si>
  <si>
    <t>湖北省减污降碳协同增效实施方案</t>
    <phoneticPr fontId="1" type="noConversion"/>
  </si>
  <si>
    <t>广东省减污降碳协同增效实施方案</t>
    <phoneticPr fontId="1" type="noConversion"/>
  </si>
  <si>
    <t>四川省减污降碳协同增效实施方案</t>
    <phoneticPr fontId="1" type="noConversion"/>
  </si>
  <si>
    <t>贵州省减污降碳协同增效实施方案</t>
    <phoneticPr fontId="1" type="noConversion"/>
  </si>
  <si>
    <t>甘肃省减污降碳协同增效实施方案</t>
    <phoneticPr fontId="1" type="noConversion"/>
  </si>
  <si>
    <t>内蒙古自治区减污降碳协同增效实施方案</t>
    <phoneticPr fontId="1" type="noConversion"/>
  </si>
  <si>
    <t>广西壮族自治区减污降碳协同增效实施方案</t>
    <phoneticPr fontId="1" type="noConversion"/>
  </si>
  <si>
    <t>宁夏回族自治区减污降碳协同增效实施方案</t>
    <phoneticPr fontId="1" type="noConversion"/>
  </si>
  <si>
    <t>新疆维吾尔族自治区减污降碳协同增效实施方案</t>
    <phoneticPr fontId="1" type="noConversion"/>
  </si>
  <si>
    <t>促进绿色消费实施方案</t>
  </si>
  <si>
    <t>重庆市促进绿色消费实施方案</t>
    <phoneticPr fontId="1" type="noConversion"/>
  </si>
  <si>
    <t>河北省促进绿色消费实施方案</t>
    <phoneticPr fontId="1" type="noConversion"/>
  </si>
  <si>
    <t>山西省促进绿色消费实施方案</t>
    <phoneticPr fontId="1" type="noConversion"/>
  </si>
  <si>
    <t>江苏省促进绿色消费实施方案</t>
    <phoneticPr fontId="1" type="noConversion"/>
  </si>
  <si>
    <t>福建省促进绿色消费实施方案</t>
    <phoneticPr fontId="1" type="noConversion"/>
  </si>
  <si>
    <t>湖南省促进绿色消费实施方案</t>
    <phoneticPr fontId="1" type="noConversion"/>
  </si>
  <si>
    <t>贵州省促进绿色消费实施方案</t>
    <phoneticPr fontId="1" type="noConversion"/>
  </si>
  <si>
    <t>云南省促进绿色消费实施方案</t>
    <phoneticPr fontId="1" type="noConversion"/>
  </si>
  <si>
    <t>青海省促进绿色消费实施方案</t>
    <phoneticPr fontId="1" type="noConversion"/>
  </si>
  <si>
    <t>主题</t>
    <phoneticPr fontId="1" type="noConversion"/>
  </si>
  <si>
    <t>碳达峰</t>
    <phoneticPr fontId="1" type="noConversion"/>
  </si>
  <si>
    <t>Climate Policy Inventory</t>
  </si>
  <si>
    <t xml:space="preserve">Types of Policy </t>
  </si>
  <si>
    <t>Policy Summary</t>
  </si>
  <si>
    <t>Year</t>
  </si>
  <si>
    <t>Agency Coordination</t>
  </si>
  <si>
    <t>Issuing Agency</t>
  </si>
  <si>
    <t>Policy Instrument</t>
  </si>
  <si>
    <t xml:space="preserve">Sector </t>
  </si>
  <si>
    <t>Policy ID</t>
  </si>
  <si>
    <t>N1. Clean electricity system</t>
  </si>
  <si>
    <r>
      <t xml:space="preserve">National Energy Administration on matters related to the development and construction of wind power and photovoltaic power generation </t>
    </r>
    <r>
      <rPr>
        <u/>
        <sz val="11"/>
        <color theme="10"/>
        <rFont val="等线"/>
        <family val="3"/>
        <charset val="134"/>
        <scheme val="minor"/>
      </rPr>
      <t>国家能源局关于2021年风电、光伏发电开发建设有关事项的通知</t>
    </r>
  </si>
  <si>
    <t>General requirements: 1. The proportion of non-fossil energy in primary energy consumption will reach 25% in 2030; 2. The installed capacity of wind power and solar power generation will reach 1.2 billion kilowatts or more by 2030; 3. By 2021, the national wind power and photovoltaic power generation will account for about 11% of the total electricity consumption of the whole society; 4. By 2025, non-fossil energy consumption will account for about 20% of primary energy consumption.</t>
  </si>
  <si>
    <t>One</t>
  </si>
  <si>
    <t>NEA</t>
  </si>
  <si>
    <t>Regulations and Standards</t>
  </si>
  <si>
    <t xml:space="preserve">Power </t>
  </si>
  <si>
    <t xml:space="preserve">NEA [2021] No.25 </t>
  </si>
  <si>
    <r>
      <t xml:space="preserve">The Energy Law of the People's Republic of China </t>
    </r>
    <r>
      <rPr>
        <u/>
        <sz val="11"/>
        <color theme="10"/>
        <rFont val="等线"/>
        <family val="3"/>
        <charset val="134"/>
        <scheme val="minor"/>
      </rPr>
      <t>中华人民共和国能源法（征求意见稿）</t>
    </r>
  </si>
  <si>
    <t>Main Chapters include: 1. General Provisions; 2.Energy Strategies and Plans; 3. Energy Exploitation, Processing, and Conversion; 4.Energy Supply and Consumption; 5.Energy Market; 6. Energy Security; 7.Scientific and Technological Progress; 8.International Cooperation; 9. Supervision and Administration; 10. Legal Liability; 11. Supplemental Provisions.  Main takeaways: In China's first "Energy Law" (draft for comments), there are frequent highlights such as giving priority to the development of renewable energy, supporting the development and application of new fuels and industrial raw materials that replace oil and gas, and incorporating hydrogen energy into the energy definition. Among them, hydrogen energy is classified as an energy source, which is the first time China legally confirmed that it is an energy source.</t>
  </si>
  <si>
    <t>Laws</t>
  </si>
  <si>
    <t>Economy-wide</t>
  </si>
  <si>
    <t>NEA [2020]</t>
  </si>
  <si>
    <r>
      <t xml:space="preserve">Notice on Encouraging Renewable Energy Power Generation Companies to Build or Purchase Peak-load Capacity to Increase the Scale of Grid Connection </t>
    </r>
    <r>
      <rPr>
        <u/>
        <sz val="11"/>
        <color theme="10"/>
        <rFont val="等线"/>
        <family val="3"/>
        <charset val="134"/>
        <scheme val="minor"/>
      </rPr>
      <t>关于鼓励可再生能源发电企业自建或购买调峰能力增加并网规模的通知</t>
    </r>
  </si>
  <si>
    <t xml:space="preserve">To promote the development and consumption of renewable energy such as wind power and solar power, power generation companies are encouraged to increase the installed capacity of renewable energy power generation through self-built or purchase of peak-load energy storage capacity. </t>
  </si>
  <si>
    <t>Two</t>
  </si>
  <si>
    <t xml:space="preserve">NDRC, NEA </t>
  </si>
  <si>
    <t>NDRC [2021] No.1138</t>
  </si>
  <si>
    <r>
      <t xml:space="preserve">Notice on the Pilot Implementation of the Renewable Energy Green Electricity Certificate Issuance and Voluntary Subscription Trading System </t>
    </r>
    <r>
      <rPr>
        <u/>
        <sz val="11"/>
        <color theme="10"/>
        <rFont val="等线"/>
        <family val="3"/>
        <charset val="134"/>
        <scheme val="minor"/>
      </rPr>
      <t>试行可再生能源绿色电力证书核发及自愿认购交易制度的通知</t>
    </r>
  </si>
  <si>
    <t>In February 2017, NDRC, Ministry of Finance (MOF), and NEA jointly issued the Notice intending to promote renewable energy development through the market mechanism.</t>
  </si>
  <si>
    <t>Three</t>
  </si>
  <si>
    <t>NDRC, NEA, MOF</t>
  </si>
  <si>
    <t>Voluntary Agreements</t>
  </si>
  <si>
    <t>NEA Energy [2017] No. 132</t>
  </si>
  <si>
    <r>
      <t xml:space="preserve">Renewable Energy Law of the People's Republic of China </t>
    </r>
    <r>
      <rPr>
        <u/>
        <sz val="11"/>
        <color theme="10"/>
        <rFont val="等线"/>
        <family val="3"/>
        <charset val="134"/>
        <scheme val="minor"/>
      </rPr>
      <t>中华人民共和国可再生能源法</t>
    </r>
  </si>
  <si>
    <t>The original law, which took effect in January 2006, aimed to optimize energy structure and safeguard energy security.  It covered subsidies, pricing management, and supervision measures.</t>
  </si>
  <si>
    <t>The revised “Renewable Energy Law” requires electricity grid enterprises to reach power purchase agreements with renewable power producers. Power grid enterprises refusing to buy power produced by renewable power producers will be fined up to an amount double that of the economic loss of the renewable energy company.</t>
  </si>
  <si>
    <t>NPC</t>
  </si>
  <si>
    <t>National People’s Congress</t>
  </si>
  <si>
    <r>
      <t xml:space="preserve">Notice on Building a Renewable Electricity Guaranteed Consumption System </t>
    </r>
    <r>
      <rPr>
        <u/>
        <sz val="11"/>
        <color theme="10"/>
        <rFont val="等线"/>
        <family val="3"/>
        <charset val="134"/>
        <scheme val="minor"/>
      </rPr>
      <t>可再生能源电力消纳保障机制的通知</t>
    </r>
  </si>
  <si>
    <t>The main policy measures are as follows. 1. Set the responsibility-sharing of renewable power consumption for total power consumption. 2. Determine the responsibility-sharing for renewable power consumption at the provincial level. 3. Accounting method of renewable energy consumption includes: (1)  excess renewable energy consumption from market entities that exceed the required annual consumption can be traded. (2) or through renewable energy green certificates.</t>
  </si>
  <si>
    <t>NDRC, NEA</t>
  </si>
  <si>
    <t>NDRC [2019] No.807</t>
  </si>
  <si>
    <r>
      <t xml:space="preserve">Notice on work related to photovoltaic power generation without subsidy and price parity on the grid </t>
    </r>
    <r>
      <rPr>
        <u/>
        <sz val="11"/>
        <color theme="10"/>
        <rFont val="等线"/>
        <family val="3"/>
        <charset val="134"/>
        <scheme val="minor"/>
      </rPr>
      <t>光伏发电无补贴平价上网有关工作的通知</t>
    </r>
  </si>
  <si>
    <t>According to the Notice jointly published by NDRC and NEA in January 2019, China plans to pilot wind and solar energy projects without state subsidies for the first time. The aim is to increase renewable energies' competitiveness and reduce financial subsidies for renewable energies. Individual provinces are responsible for the planning and implementation of pilot projects. Local governments are encouraged to support such projects by providing cheap land and reducing administrative costs. The green certificates market shall provide additional revenues to renewable power producers.</t>
  </si>
  <si>
    <t>NDRC Energy [2019] No.19</t>
  </si>
  <si>
    <r>
      <t xml:space="preserve">Notice of the Ministry of Industry and Information Technology on Issuing the "Guideline for Power Demand Side Management in the Industrial Field" </t>
    </r>
    <r>
      <rPr>
        <u/>
        <sz val="11"/>
        <color theme="10"/>
        <rFont val="等线"/>
        <family val="3"/>
        <charset val="134"/>
        <scheme val="minor"/>
      </rPr>
      <t>工业和信息化部关于印发《工业领域电力需求侧管理工作指南》的通知</t>
    </r>
  </si>
  <si>
    <t>MIIT issued the guideline to guide energy-consuming entities to carry out demand-side management, strengthen energy management, improve energy efficiency, and optimize resource allocation. The guideline applies to public buildings, industrial enterprises, industrial parks,  and the power sector.</t>
  </si>
  <si>
    <t>MIIT</t>
  </si>
  <si>
    <t>MIIT [2019] No.145</t>
  </si>
  <si>
    <r>
      <t xml:space="preserve">Renewable Electricity Quota and Assessment Method </t>
    </r>
    <r>
      <rPr>
        <u/>
        <sz val="11"/>
        <color theme="10"/>
        <rFont val="等线"/>
        <family val="3"/>
        <charset val="134"/>
        <scheme val="minor"/>
      </rPr>
      <t>可再生能源电力配额及考核办法</t>
    </r>
  </si>
  <si>
    <t xml:space="preserve">The draft version of the document contains mandatory provincial-level quotas of renewable electricity over total electricity and specific non-hydro renewable electricity quotas accompanied by a “Renewable Electricity Certificate” system. </t>
  </si>
  <si>
    <t xml:space="preserve">NEA [2018] </t>
  </si>
  <si>
    <r>
      <t xml:space="preserve">Guiding Opinions of the National Development and Reform Commission on Deepening the Reform of the On-grid Tariff Formation Mechanism for Coal-fired Power Generation </t>
    </r>
    <r>
      <rPr>
        <u/>
        <sz val="11"/>
        <color theme="10"/>
        <rFont val="等线"/>
        <family val="3"/>
        <charset val="134"/>
        <scheme val="minor"/>
      </rPr>
      <t>国家发展和改革委员会关于深化燃煤发电上网电价形成机制改革的指导意见</t>
    </r>
  </si>
  <si>
    <t>Reform measures include: (1) To realize the goal of fully liberalizing the on-grid tariff for coal-fired power generation, the current coal-fired power generation benchmark on-grid tariff mechanism will be changed to a market-based pricing mechanism, "base price + fluctuations". (2) For coal-fired power generation, the specific on-grid tariffs shall be determined by market entities such as power generation companies, power sales companies, and power users through bilateral negotiations or centralized bidding. (3) The benchmark price of coal-fired electricity still applies to residential and agricultural electricity consumers.</t>
  </si>
  <si>
    <t>NDRC</t>
  </si>
  <si>
    <t>NDRC [2019] No.1658</t>
  </si>
  <si>
    <r>
      <t xml:space="preserve">Opinions on Deepening the Pilot Work for the Construction of the Electricity Spot Market </t>
    </r>
    <r>
      <rPr>
        <u/>
        <sz val="11"/>
        <color theme="10"/>
        <rFont val="等线"/>
        <family val="3"/>
        <charset val="134"/>
        <scheme val="minor"/>
      </rPr>
      <t>关于深化电力现货市场建设试点工作的意见</t>
    </r>
  </si>
  <si>
    <t>General requirements include: 1. Design the power spot market construction plan; 2. Coordinate the connections of  power spot markets; 3. Establish a sound power spot market operation mechanism; 4. Strengthen and improve the power spot market operation capabilities; 5. Standardize the construction of a power spot market operation platform; 6. Establish and enhance supporting mechanisms for the power spot market.</t>
  </si>
  <si>
    <t>NDRC [2019] No.828</t>
  </si>
  <si>
    <r>
      <t xml:space="preserve">Opinions on Promoting the Healthy Development of Non-aqueous Renewable  </t>
    </r>
    <r>
      <rPr>
        <u/>
        <sz val="11"/>
        <color theme="10"/>
        <rFont val="等线"/>
        <family val="3"/>
        <charset val="134"/>
        <scheme val="minor"/>
      </rPr>
      <t>关于促进非水可再生能源发电健康发展的若干意见</t>
    </r>
  </si>
  <si>
    <t>The policy clarifies that central government subsidy funds for renewable power generation projects shall be approved based on reasonable utilization hours.</t>
  </si>
  <si>
    <t>MOF,NDRC,NEA</t>
  </si>
  <si>
    <t>MOF [2020] No. 426</t>
  </si>
  <si>
    <r>
      <t xml:space="preserve">Notice of the National Development and Reform Commission and the National Energy Administration on Issuing the Basic Rules for Medium and Long-term Electricity Trading </t>
    </r>
    <r>
      <rPr>
        <u/>
        <sz val="11"/>
        <color theme="10"/>
        <rFont val="等线"/>
        <family val="3"/>
        <charset val="134"/>
        <scheme val="minor"/>
      </rPr>
      <t>电力中长期交易基本规则</t>
    </r>
  </si>
  <si>
    <t>According to the policy, the National Energy Administration (NEA) and its local supervisory authorities should jointly lead electricity exchanges and market management committees in drafting market trading rules. Electricity exchanges and power dispatch centers are on duty to accomplish information publication and reporting. Key takeaways include: 1. Clarify the role of power grid companies as a guaranteed power supply provider; 2. Emphasize that transaction prices, quantities, etc., are freely formed by the market, and planned electricity generation is included in medium and long-term contracts; 3. Minimize government interference in the market; 4. Clarify the transaction method and price mechanism.</t>
  </si>
  <si>
    <t>NDRC [2020] No.889</t>
  </si>
  <si>
    <r>
      <t xml:space="preserve">Notice on matters related to the investment and construction of new energy supporting projects </t>
    </r>
    <r>
      <rPr>
        <u/>
        <sz val="11"/>
        <color theme="10"/>
        <rFont val="等线"/>
        <family val="3"/>
        <charset val="134"/>
        <scheme val="minor"/>
      </rPr>
      <t>国家发展改革委办公厅国家能源局综合司关于做好新能源配套送出工程投资建设有关事项的通知</t>
    </r>
  </si>
  <si>
    <t>To better promote the energy transition, meet the rapidly growing demand for new energy, and prevent wind power, photovoltaic power generation, and other power transmission projects from becoming a factor restricting the development of new energy, the relevant matters include: 1. Pay attention to the impact of power supply distribution projects on the grid connection of new energy; 2. Strengthen overall planning and coordination of power grids and power sources; 3. Allow new energy supporting transmission projects to be constructed by power generation enterprises.</t>
  </si>
  <si>
    <t>NDRC [2021] No.445</t>
  </si>
  <si>
    <r>
      <t xml:space="preserve">Guiding Opinions on Promoting the Integration of Power Sources, Networks, Loads, and Storage and the Development of Multi-energy Complementarity </t>
    </r>
    <r>
      <rPr>
        <u/>
        <sz val="11"/>
        <color theme="10"/>
        <rFont val="等线"/>
        <family val="3"/>
        <charset val="134"/>
        <scheme val="minor"/>
      </rPr>
      <t>国家发展改革委 国家能源局关于推进电力源网荷储一体化和多能互补发展的指导意见</t>
    </r>
  </si>
  <si>
    <t>Overall requirements: 1. Optimize and integrate local power, grid, and load resources. 2. Explore the development path of a new power system with a high degree of integration of source, network, and load storage, including regional (provincial) level, city (county) level, and parks (residential area) level "source-network-load-storage integration" and other specific models.</t>
  </si>
  <si>
    <t>NDRC [2021] No.280</t>
  </si>
  <si>
    <r>
      <t xml:space="preserve">Notice of the National Development and Reform Commission on matters related to the new energy feed-in tariff policy in 2021 </t>
    </r>
    <r>
      <rPr>
        <u/>
        <sz val="11"/>
        <color theme="10"/>
        <rFont val="等线"/>
        <family val="3"/>
        <charset val="134"/>
        <scheme val="minor"/>
      </rPr>
      <t>国家发展改革委关于2021年新能源上网电价政策有关事项的通知</t>
    </r>
  </si>
  <si>
    <t>In 2021, the relevant matters concerning the feed-in tariff policy for new energy such as photovoltaic power and wind power are notified as follows: 1. Starting from 2021, newly filed centralized photovoltaic power plants, industrial and commercial distributed photovoltaic projects, and recently approved onshore wind power projects, the central government will no longer provide subsidies; 2. In 2021, the on-grid electricity price of new projects will be implemented based on the local coal-fired power benchmark price; 3. From 2021, the local provincial-level pricing authorities will set the on-grid tariffs for newly approved offshore wind power projects and solar thermal power generation projects, and the on-grid tariffs will be higher than the local benchmark tariff for coal-fired power generation; 4. New projects can voluntarily trade in the electricity market to generate electricity prices that better reflect the green power value of photovoltaic and wind power.</t>
  </si>
  <si>
    <t>NDRC [2021] NO.833</t>
  </si>
  <si>
    <r>
      <t xml:space="preserve">Opinions of the National Development and Reform Commission on Further Improving the Price Formation Mechanism of Pumped Storage </t>
    </r>
    <r>
      <rPr>
        <u/>
        <sz val="11"/>
        <color theme="10"/>
        <rFont val="等线"/>
        <family val="3"/>
        <charset val="134"/>
        <scheme val="minor"/>
      </rPr>
      <t>国家发展改革委关于进一步完善抽水蓄能价格形成机制的意见</t>
    </r>
  </si>
  <si>
    <t xml:space="preserve">The development of pumped storage power plants is an important way to improve the power system's flexibility, economy, and safety. General requirements include: 1.Form electricity price in a competitive market; 2. Improve the capacity electricity pricing mechanism; 3. Improve the cost allocation methods of pumped storage power stations; 4. Strengthen the management of construction and operation of pumped storage power stations. </t>
  </si>
  <si>
    <t>NDRC [2021] No.633</t>
  </si>
  <si>
    <r>
      <t xml:space="preserve">Notice on Issuing the "Implementation Plan for Improving the Construction and Operation of Biomass Power Generation Projects" </t>
    </r>
    <r>
      <rPr>
        <u/>
        <sz val="11"/>
        <color theme="10"/>
        <rFont val="等线"/>
        <family val="3"/>
        <charset val="134"/>
        <scheme val="minor"/>
      </rPr>
      <t>关于印发《完善生物质发电项目建设运行的实施方案》的通知</t>
    </r>
  </si>
  <si>
    <t>Biomass power generation includes agriculture and forestry biomass power generation, waste incineration power generation, and biogas power generation. Projects applying for central government subsidies in 2020 must meet the following conditions: (1) Selected into the national and provincial special plans for biomass power generation. (2) All units connected to the grid after January 20, 2020. (3) Comply with relevant national laws and regulations, industrial policies, technical standards, and other requirements.</t>
  </si>
  <si>
    <t>Inclusion rules: Based on each project's grid connection time and order, projects with earlier grid connection order will be given priority until the total subsidy provided reaches 1.5 billion yuan of central government subsidy funds in 2020.</t>
  </si>
  <si>
    <t>NDRC [2020] No.1421</t>
  </si>
  <si>
    <r>
      <t>Interim Measures for the Administration of Renewable Energy Electricity Price Additional Subsidy Funds</t>
    </r>
    <r>
      <rPr>
        <u/>
        <sz val="11"/>
        <color theme="10"/>
        <rFont val="等线"/>
        <family val="3"/>
        <charset val="134"/>
        <scheme val="minor"/>
      </rPr>
      <t>可再生能源电价附加补助资金管理暂行办法</t>
    </r>
  </si>
  <si>
    <t>The interim measures set the rates of subsidies for the operation and maintenance costs to be incurred by connecting renewable energy to the grid – depending on the distance of power transmission: 0.01 RMB/kWh for less than 50 km, 0.02 RMB/kWh for 50-100 km, and 0.03 RMB/kWh for 100 km or longer. </t>
  </si>
  <si>
    <t>Subsidies and Incentives</t>
  </si>
  <si>
    <t>MOF [2012] No. 102</t>
  </si>
  <si>
    <t>N2. Industrial decarbonization</t>
  </si>
  <si>
    <r>
      <t xml:space="preserve">Opinions on promoting the development of manufacturing service industry </t>
    </r>
    <r>
      <rPr>
        <u/>
        <sz val="11"/>
        <color theme="10"/>
        <rFont val="等线"/>
        <family val="3"/>
        <charset val="134"/>
        <scheme val="minor"/>
      </rPr>
      <t>关于加快推动制造服务业高质量发展的意见</t>
    </r>
  </si>
  <si>
    <t xml:space="preserve">The opinion lists six ways to promote the development of the manufacturing service industry to achieve manufacturing transformation and upgrading: 1. improve the innovation capacity of the manufacturing industry; 2. improve the quality of supply in manufacturing; 3. improve manufacturing efficiency; 4. support the green development of manufacturing; 5. invigorate the manufacturing development; 6. promote the innovative application of manufacturing supply chains. </t>
  </si>
  <si>
    <t>Industry</t>
  </si>
  <si>
    <t>NDRC [2021] No.372</t>
  </si>
  <si>
    <r>
      <t>"14th Five-Year" Development Plan for the Raw Material Industry  “</t>
    </r>
    <r>
      <rPr>
        <u/>
        <sz val="11"/>
        <color theme="10"/>
        <rFont val="等线"/>
        <family val="3"/>
        <charset val="134"/>
        <scheme val="minor"/>
      </rPr>
      <t>十四五”原材料工业发展规划</t>
    </r>
  </si>
  <si>
    <t>The aim is to foster and expand the new materials industry.</t>
  </si>
  <si>
    <t xml:space="preserve">MIIT, MST, MNR  </t>
  </si>
  <si>
    <t>MIIT [2021] No.212</t>
  </si>
  <si>
    <r>
      <t>"14th Five-Year" Industrial Green Development Plan “</t>
    </r>
    <r>
      <rPr>
        <u/>
        <sz val="11"/>
        <color theme="10"/>
        <rFont val="等线"/>
        <family val="3"/>
        <charset val="134"/>
        <scheme val="minor"/>
      </rPr>
      <t>十四五”工业绿色发展规划</t>
    </r>
  </si>
  <si>
    <t>The goal is to build a modern industrial structure where green and low-carbon transformation and industrial green development promote and integrate with each other.</t>
  </si>
  <si>
    <t xml:space="preserve">MIIT </t>
  </si>
  <si>
    <t>MIIT [2021] No.178</t>
  </si>
  <si>
    <r>
      <t xml:space="preserve">Guiding Opinions on Strengthening the Prevention and Control of the Source of the Ecological Environment of High Energy Consumption and High Emission Construction Projects </t>
    </r>
    <r>
      <rPr>
        <u/>
        <sz val="11"/>
        <color theme="10"/>
        <rFont val="等线"/>
        <family val="3"/>
        <charset val="134"/>
        <scheme val="minor"/>
      </rPr>
      <t>关于加强高耗能、高排放建设项目生态环境源头防控的指导意见</t>
    </r>
  </si>
  <si>
    <t xml:space="preserve">According to the Guideline, construction projects with high energy consumption and high emissions covers projects from six industries, including coal-fired power plant, petrochemical, chemical, iron and steel, non-ferrous metal smelting, and construction materials. The Guideline aim to promote green transformation and curb projects with high energy consumption and high emissions. </t>
  </si>
  <si>
    <t>MEE</t>
  </si>
  <si>
    <t>MEE [2021] No.45</t>
  </si>
  <si>
    <r>
      <t xml:space="preserve">Interim Measures for the Administration of Energy Saving and Emission Reduction Subsidy Funds </t>
    </r>
    <r>
      <rPr>
        <u/>
        <sz val="11"/>
        <color theme="10"/>
        <rFont val="等线"/>
        <family val="3"/>
        <charset val="134"/>
        <scheme val="minor"/>
      </rPr>
      <t>关于修改《节能减排补助资金管理暂行办法》的通知</t>
    </r>
  </si>
  <si>
    <t>Amended the original “Interim Measures for the Administration of Energy Saving and Emission Reduction Subsidy Funds” released in 2015.</t>
  </si>
  <si>
    <t xml:space="preserve">MOF </t>
  </si>
  <si>
    <t>MOF [2015] No.161; MOF [2020] No.10</t>
  </si>
  <si>
    <r>
      <t xml:space="preserve">Guiding Opinions on Expanding Investment in Strategic Emerging Industries and Cultivating New Growth Point and Growth Pole  </t>
    </r>
    <r>
      <rPr>
        <u/>
        <sz val="11"/>
        <color theme="10"/>
        <rFont val="等线"/>
        <family val="3"/>
        <charset val="134"/>
        <scheme val="minor"/>
      </rPr>
      <t>关于扩大战略性新兴产业投资</t>
    </r>
  </si>
  <si>
    <t>培育壮大新增长点增长极的指导意见</t>
  </si>
  <si>
    <t>The "Guiding Opinion "has put forward four major requirements for expansion of strategic emerging industries: 1. focusing on key industries; 2. establishing leading industrial clusters and agglomeration; 3. strengthening allocation of factors of production; 4. Improving financing service.</t>
  </si>
  <si>
    <t>NDRC [2020] No.1409</t>
  </si>
  <si>
    <r>
      <t xml:space="preserve">Transformer Energy Efficiency Improvement Plan (2021-2023) </t>
    </r>
    <r>
      <rPr>
        <u/>
        <sz val="11"/>
        <color theme="10"/>
        <rFont val="等线"/>
        <family val="3"/>
        <charset val="134"/>
        <scheme val="minor"/>
      </rPr>
      <t>关于印发《变压器能效提升计划（2021-2023年）》的通知</t>
    </r>
  </si>
  <si>
    <t>By 2023, the proportion of high-efficiency energy-saving transformers operating on the grid will increase by 10%. Newly-added high-efficiency energy-saving transformers will account for more than 75%.</t>
  </si>
  <si>
    <t>MIIT, SAMR, NEA</t>
  </si>
  <si>
    <t>MIIT [2020] No.69</t>
  </si>
  <si>
    <r>
      <t>Collaborative Transformation and Improvement Plan of Comprehensive Utilization of Industrial Resources in Beijing-Tianjin-Hebei and Surrounding Areas (2020-2022)</t>
    </r>
    <r>
      <rPr>
        <u/>
        <sz val="11"/>
        <color theme="10"/>
        <rFont val="等线"/>
        <family val="3"/>
        <charset val="134"/>
        <scheme val="minor"/>
      </rPr>
      <t>工业和信息化部关于印发《京津冀及周边地区工业资源综合利用产业协同转型提升计划（2020-2022年）》的通知</t>
    </r>
  </si>
  <si>
    <t>By 2022, 800 million tons of industrial solid waste will be comprehensively utilized in the region, and 150 million tons of renewable resources will be recycled, and the total industrial output value will exceed 900 billion yuan, forming 30 distinctive industrial clusters, building 50 industrial innovation centers, and cultivating 100 innovative backbone enterprises.</t>
  </si>
  <si>
    <t>MIIT [2020] No.105</t>
  </si>
  <si>
    <r>
      <t xml:space="preserve">Guiding Opinions on Promoting the High-quality Development of the Iron and Steel Industry (Draft for Comments) </t>
    </r>
    <r>
      <rPr>
        <u/>
        <sz val="11"/>
        <color theme="10"/>
        <rFont val="等线"/>
        <family val="3"/>
        <charset val="134"/>
        <scheme val="minor"/>
      </rPr>
      <t>公开征求对《关于推动钢铁工业高质量发展的指导意见（征求意见稿）》的意见</t>
    </r>
  </si>
  <si>
    <t xml:space="preserve">The Iron and Steel Industry aims to be the first to achieve the emission peak. By 2025, the industry will reach at least 80%  completion rate of the ultra-low emission transformation, over 20% of total pollutant emissions reductions, and at least 5% total energy consumption and intensity reduction. </t>
  </si>
  <si>
    <t>MIIT [2020]</t>
  </si>
  <si>
    <r>
      <t xml:space="preserve">Notice on Public Solicitation of "Regulations on the Management of Ozone Depleting Substances and Hydrofluorocarbons (Revised Draft for Solicitation of Comments)" </t>
    </r>
    <r>
      <rPr>
        <u/>
        <sz val="11"/>
        <color theme="10"/>
        <rFont val="等线"/>
        <family val="3"/>
        <charset val="134"/>
        <scheme val="minor"/>
      </rPr>
      <t>消耗臭氧层物质和氢氟碳化物管理条例（修订草案征求意见稿）</t>
    </r>
  </si>
  <si>
    <t>Under the current new compliance situation, to continue eliminating and reducing ozone-depleting substances and HFCs, MEE organized amendments to the "Regulations on the Management of Ozone-Depleting Substances."</t>
  </si>
  <si>
    <t>MEE [2020] No.145</t>
  </si>
  <si>
    <r>
      <t xml:space="preserve">Industrial Energy Conservation Diagnostic Service Action Plan </t>
    </r>
    <r>
      <rPr>
        <u/>
        <sz val="11"/>
        <color theme="10"/>
        <rFont val="等线"/>
        <family val="3"/>
        <charset val="134"/>
        <scheme val="minor"/>
      </rPr>
      <t>工业和信息化部关于印发《工业节能诊断服务行动计划》的通知</t>
    </r>
  </si>
  <si>
    <t xml:space="preserve">General requirements: 1.Support enterprises to conduct comprehensive diagnoses. Targeted industries shall cover machinery, electrical, electronic, light industry,  and textile. Targeted enterprises shall have annual total energy consumption between 5,000 and  10,000 tons of standard coal;  2.Guide key high-energy-consuming industries to carry out special diagnoses. Targeted industries include steel, building materials, petrochemical, chemical,  and non-ferrous metals. Targeted enterprises shall have an annual total energy consumption of 10,000 tons of standard coal or more. </t>
  </si>
  <si>
    <t>MIIT [2019] No.101</t>
  </si>
  <si>
    <r>
      <t>2020 Version of the Industrial Energy-Saving Diagnostic Service Guide 2020</t>
    </r>
    <r>
      <rPr>
        <u/>
        <sz val="11"/>
        <color theme="10"/>
        <rFont val="等线"/>
        <family val="3"/>
        <charset val="134"/>
        <scheme val="minor"/>
      </rPr>
      <t>年版工业节能诊断服务指南</t>
    </r>
  </si>
  <si>
    <t>The Department of Energy Conservation and Comprehensive Utilization of the Ministry of Industry and Information Technology organized the revision of the "Guideline for Energy-saving Diagnostic Services for Industrial Enterprises" and compiled energy-saving diagnostic service Guideline for six key industries, including steel, cement, electronics, textiles, food, and paper.</t>
  </si>
  <si>
    <r>
      <t xml:space="preserve">Detailed Rules for the Implementation of the Energy Efficiency "Lead Runner" System in High Energy-consuming Industries </t>
    </r>
    <r>
      <rPr>
        <u/>
        <sz val="11"/>
        <color theme="10"/>
        <rFont val="等线"/>
        <family val="3"/>
        <charset val="134"/>
        <scheme val="minor"/>
      </rPr>
      <t>高耗能行业能效“领跑者”制度实施细则</t>
    </r>
  </si>
  <si>
    <t>Three ministries established an “Energy Efficiency Leader” system for high energy-consuming industries to promote green industrial development.</t>
  </si>
  <si>
    <t>Implementation scope: the first batch of industries covers ethylene, synthetic ammonia, cement, flat glass, and electrolytic aluminum based on industry energy consumption, energy-saving potential, energy measurement statistical basis, and energy efficiency standards. The “Energy Efficiency Leader” system will gradually expand the scope to cover steel, petrochemical, chemical industries, building materials, non-ferrous metals, light industries, and other high energy-consuming industries.</t>
  </si>
  <si>
    <t>Information Instruments</t>
  </si>
  <si>
    <t>MIIT [2015] No.407</t>
  </si>
  <si>
    <r>
      <t xml:space="preserve">Notice of the General Office of the National Development and Reform Commission on Further Strengthening Energy Conservation Supervision Work </t>
    </r>
    <r>
      <rPr>
        <u/>
        <sz val="11"/>
        <color theme="10"/>
        <rFont val="等线"/>
        <family val="3"/>
        <charset val="134"/>
        <scheme val="minor"/>
      </rPr>
      <t>国家发展改革委办公厅关于进一步加强节能监察工作的通知</t>
    </r>
  </si>
  <si>
    <t>Key monitoring content:</t>
  </si>
  <si>
    <t>  (1) The implementation of the energy conservation review system for the “two highs” (high energy consumption and high emissions) projects.</t>
  </si>
  <si>
    <t>  (2) Implementation status of energy consumption quota per unit product.</t>
  </si>
  <si>
    <t>   Objects of supervision: key enterprises in iron and steel, coking, non-ferrous metals, thermal power, petrochemical, chemical, and building materials.</t>
  </si>
  <si>
    <t>  Monitoring content: check whether the energy consumption level of the enterprise unit product meets the standard requirements.</t>
  </si>
  <si>
    <t>  (3) Implementation of the elimination system for energy-using equipment and production processes.</t>
  </si>
  <si>
    <t>   Objects of supervision: industrial enterprises, large public buildings, shopping malls and supermarkets, public institutions, and other energy-consuming units.</t>
  </si>
  <si>
    <t>  Monitoring content: Check whether energy-consuming units use energy-consuming products, equipment, and production processes that have been explicitly eliminated by the relevant national catalog of energy-using products, equipment, and production processes and mandatory performance and efficiency standards.</t>
  </si>
  <si>
    <t>   (4) Implementation of the energy conservation management system of key energy-consuming units.</t>
  </si>
  <si>
    <t>  Objects of supervision: energy-consuming units with annual comprehensive energy consumption of 10,000 tons of standard coal and above, and other energy-consuming units designated by local energy conservation authorities.</t>
  </si>
  <si>
    <t>  (5) Service status of energy-saving service agencies.</t>
  </si>
  <si>
    <t>NDRC [2021] NO.422</t>
  </si>
  <si>
    <r>
      <t xml:space="preserve">Green and High-Efficiency Refrigeration Action Plan  </t>
    </r>
    <r>
      <rPr>
        <u/>
        <sz val="11"/>
        <color theme="10"/>
        <rFont val="等线"/>
        <family val="3"/>
        <charset val="134"/>
        <scheme val="minor"/>
      </rPr>
      <t xml:space="preserve">《绿色高效制冷行动方案》印发 </t>
    </r>
  </si>
  <si>
    <t>By 2022, domestic air-conditioning and other refrigeration products' energy efficiency will improve by more than 30% compared to the 2017 level. The market share for green and efficient refrigeration products shall increase by 20%, achieving annual power savings of about 100 billion kilowatt-hours. By 2030, the refrigeration energy efficiency of large public buildings shall improve by 30%. The overall energy efficiency of refrigeration shall improve by more than 25%. The market share of green and efficient refrigeration products shall increase by more than 40%. China's electricity consumption for refrigeration accounts for more than 15% of the electricity consumption of the whole society, and the electricity load for air conditioning in large and medium-sized cities accounts for about 60% of the peak summer load.  The energy-saving improvement space for main refrigeration products is between 30% and 50%.</t>
  </si>
  <si>
    <t>Seven</t>
  </si>
  <si>
    <t>NDRC, MIIT, MOF, MEE, MHURD, SAMR, NGOA</t>
  </si>
  <si>
    <t>NDRC [2019]</t>
  </si>
  <si>
    <r>
      <t>Technical Guidance for the Accounting of Pollutant Removal and Greenhouse Gas Control of Pollution Control Facilities for Industrial Enterprises (for Trial Implementation)</t>
    </r>
    <r>
      <rPr>
        <u/>
        <sz val="11"/>
        <color theme="10"/>
        <rFont val="等线"/>
        <family val="3"/>
        <charset val="134"/>
        <scheme val="minor"/>
      </rPr>
      <t>工业企业污染治理设施污染物去除协同控制温室气体核算技术指南（试行）</t>
    </r>
  </si>
  <si>
    <t xml:space="preserve">In September 2017, former MEP released the Guidance to promote the co-control of ambient pollutants and GHGs proactively and organized capacity building training for the co-control of ambient pollutants and GHGs and the statistical survey of fluoride containing fluoride gases. </t>
  </si>
  <si>
    <t>MEP [2017] No.73</t>
  </si>
  <si>
    <r>
      <t xml:space="preserve">Program for the Construction of an Energy-saving Standard System </t>
    </r>
    <r>
      <rPr>
        <u/>
        <sz val="11"/>
        <color theme="10"/>
        <rFont val="等线"/>
        <family val="3"/>
        <charset val="134"/>
        <scheme val="minor"/>
      </rPr>
      <t>节能标准体系建设方案</t>
    </r>
  </si>
  <si>
    <t>NDRC, Administration of Quality Supervision, Inspection and Quarantine (AQSIQ), and the Standardization Administration launched the One Hundred Energy Efficiency Standard Promotion Program in 2012. As of January 2017, 104 compulsory energy consumption standards and 73 mandatory energy efficiency standards have been published.</t>
  </si>
  <si>
    <t xml:space="preserve">This new program covers all major energy intensive industries and products and enables 80 percent of China’s energy efficiency standards to be on par with international standards by 2020. </t>
  </si>
  <si>
    <t>NDRC, SAC</t>
  </si>
  <si>
    <t>NDRC Environment and Resources [2017] No. 83</t>
  </si>
  <si>
    <r>
      <t xml:space="preserve">Implementation rules for energy efficiency labeling for five types of small and medium-sized three-phase asynchronous motors, power transformers, ventilators, flat-screen TVs, and set-top boxes (revised edition) </t>
    </r>
    <r>
      <rPr>
        <u/>
        <sz val="11"/>
        <color theme="10"/>
        <rFont val="等线"/>
        <family val="3"/>
        <charset val="134"/>
        <scheme val="minor"/>
      </rPr>
      <t>国家发展改革委市场监管总局关于印发中小型三相异步电动机、电力变压器、通风机、平板电视、机顶盒五类产品能源效率标识实施规则（修订版）的通知</t>
    </r>
  </si>
  <si>
    <t>This batch of rules is valid for five years.</t>
  </si>
  <si>
    <t>NDRC, SAMR</t>
  </si>
  <si>
    <t>NDRC [2021] NO.679</t>
  </si>
  <si>
    <r>
      <t xml:space="preserve">Measures for the Administration of Energy-saving and Low-Carbon Product Certification  </t>
    </r>
    <r>
      <rPr>
        <u/>
        <sz val="11"/>
        <color theme="10"/>
        <rFont val="等线"/>
        <family val="3"/>
        <charset val="134"/>
        <scheme val="minor"/>
      </rPr>
      <t>节能低碳产品认证管理办法</t>
    </r>
  </si>
  <si>
    <t>The NDRC issued a tentative regulation in 2013 before the joint release of this final regulation by GAQSIQ and NDRC. By March 2016, China has published two catalogs of certified products.</t>
  </si>
  <si>
    <t>GAQSIQ, NDRC</t>
  </si>
  <si>
    <t>GAQSIQ Decree No. 168</t>
  </si>
  <si>
    <t>N3. Low-carbon building</t>
  </si>
  <si>
    <r>
      <t xml:space="preserve">Opinions on strengthening the green and low-carbon construction of county towns </t>
    </r>
    <r>
      <rPr>
        <u/>
        <sz val="11"/>
        <color theme="10"/>
        <rFont val="等线"/>
        <family val="3"/>
        <charset val="134"/>
        <scheme val="minor"/>
      </rPr>
      <t>住房和城乡建设部等15部门关于加强县城绿色低碳建设的意见</t>
    </r>
  </si>
  <si>
    <t>Relevant requirements for county towns’ green and low-carbon construction: (1) Strictly observe the safety of county construction. (2) Control the density and intensity of county construction. (3) Restrict the height of civil buildings in county towns. (4) Preserve and protect the natural environment. (5) Develop green buildings. (6) Build green infrastructure. (7) Strengthen the protection and inheritance of the county's history and culture. (8) Build a green and low-carbon transportation system. (9) Create a humane public environment. (10) Promote the overall construction method with blocks as the unit.</t>
  </si>
  <si>
    <t>Fifteen</t>
  </si>
  <si>
    <t>MHURD, MST, MIIT, MCA,MEE, MOT, MWR, MCT, MEM, SAMR, GAS, NEA, SFGA, NCHA, NRRA</t>
  </si>
  <si>
    <t>Buildings</t>
  </si>
  <si>
    <t>MOHURD [2021] No.45</t>
  </si>
  <si>
    <r>
      <t xml:space="preserve">Guiding opinions on accelerating the modernization of rural houses and villages </t>
    </r>
    <r>
      <rPr>
        <u/>
        <sz val="11"/>
        <color theme="10"/>
        <rFont val="等线"/>
        <family val="3"/>
        <charset val="134"/>
        <scheme val="minor"/>
      </rPr>
      <t>关于加快农房和村庄建设现代化的指导意见</t>
    </r>
  </si>
  <si>
    <t>Key requirements include: 1. Guide rural areas to reduce the use of traditional energy sources such as low-quality coal, straw, and direct combustion of fuelwood, and encourage the use of clean energy that suits local characteristics and farmers' needs; 2. Promote the application of solar thermal, photovoltaic, and other technologies and products, and promote the green and low-carbon transformation of energy consumption for villagers' daily lighting, cooking, heating, and cooling; 3. Promote gas to the countryside, and support safe and reliable rural gas storage tank stations and micro-pipe network gas supply systems; 4. Promote energy-saving renovation of existing farmhouses.</t>
  </si>
  <si>
    <t>MOHURD, MARA,NRRA</t>
  </si>
  <si>
    <t>MOHURD [2021] No.47</t>
  </si>
  <si>
    <r>
      <t xml:space="preserve">Notice on determining the first batch of pilot cities for the collaborative development of smart city infrastructure and smart connected vehicles </t>
    </r>
    <r>
      <rPr>
        <u/>
        <sz val="11"/>
        <color theme="10"/>
        <rFont val="等线"/>
        <family val="3"/>
        <charset val="134"/>
        <scheme val="minor"/>
      </rPr>
      <t>住房和城乡建设部 工业和信息化部关于确定智慧城市基础设施与智能网联汽车协同发展第一批试点城市的通知</t>
    </r>
  </si>
  <si>
    <t xml:space="preserve">Based on each city’s declaration, expert review, and field research, six cities, including Beijing, Shanghai, Guangzhou, Wuhan, Changsha, and Wuxi, were identified as the first batch of pilot cities in the coordinated development of smart city infrastructure and smart networked vehicles. </t>
  </si>
  <si>
    <t>MOHURD, MIIT</t>
  </si>
  <si>
    <t>MOHURD [2021] No.51</t>
  </si>
  <si>
    <r>
      <t xml:space="preserve">Notice on Issuing Technical Guideline for Green Construction (Trial) </t>
    </r>
    <r>
      <rPr>
        <u/>
        <sz val="11"/>
        <color theme="10"/>
        <rFont val="等线"/>
        <family val="3"/>
        <charset val="134"/>
        <scheme val="minor"/>
      </rPr>
      <t>住房和城乡建设部办公厅关于印发绿色建造技术导则（试行）的通知</t>
    </r>
  </si>
  <si>
    <t>The “Guideline” are divided into seven chapters: General Principles, Terminology, Basic Regulations, Green Planning, Green Design, Green Construction, and Green Delivery. The "Green Planning" chapter clarifies the work content that needs to be carried out in the planning stage. The "Green Design" chapter stipulates the requirements for advancing the integrated design of architecture, structure, electromechanics, and decoration. The "Green Construction" chapter puts forward technical requirements for optimized design, resource conservation, emission reduction, and smart technology application during the construction phase. The "Green Delivery" chapter clarifies the mechanism of green construction evaluation and proposes digital delivery requirements.</t>
  </si>
  <si>
    <t>MOHURD</t>
  </si>
  <si>
    <t>MOHURD [2021] No.9</t>
  </si>
  <si>
    <r>
      <t xml:space="preserve">Notice on the pilot work of government procurement to support green building materials to promote the improvement of building quality </t>
    </r>
    <r>
      <rPr>
        <u/>
        <sz val="11"/>
        <color theme="10"/>
        <rFont val="等线"/>
        <family val="3"/>
        <charset val="134"/>
        <scheme val="minor"/>
      </rPr>
      <t>关于政府采购支持绿色建材促进建筑品质提升试点工作的通知</t>
    </r>
  </si>
  <si>
    <t>The “Pilot Work” aims to promote green building materials, parts, and components for buildings in government procurement projects. By 2022, the government procurement standards and regulations for green buildings and green building materials shall be formed.</t>
  </si>
  <si>
    <t>MOF, MOHURD</t>
  </si>
  <si>
    <t>MOF [2020] No.31</t>
  </si>
  <si>
    <r>
      <t xml:space="preserve">Letter on launching green construction pilot work </t>
    </r>
    <r>
      <rPr>
        <u/>
        <sz val="11"/>
        <color theme="10"/>
        <rFont val="等线"/>
        <family val="3"/>
        <charset val="134"/>
        <scheme val="minor"/>
      </rPr>
      <t>住房和城乡建设部办公厅关于开展绿色建造试点工作的函</t>
    </r>
  </si>
  <si>
    <t>To promote green construction, the transformation and upgrading of the construction industry, and the green development of urban and rural construction, it is decided to carry out pilot green construction projects in Hunan Province, Shenzhen City in Guangdong Province, and Changzhou City in Jiangsu Province.</t>
  </si>
  <si>
    <t>MOHURD [2020] No.677</t>
  </si>
  <si>
    <r>
      <t xml:space="preserve">Action Plan for Green Building Construction </t>
    </r>
    <r>
      <rPr>
        <u/>
        <sz val="11"/>
        <color theme="10"/>
        <rFont val="等线"/>
        <family val="3"/>
        <charset val="134"/>
        <scheme val="minor"/>
      </rPr>
      <t>绿色建筑创建行动方案</t>
    </r>
  </si>
  <si>
    <t xml:space="preserve">Goals of the "action plan" include: 1. By 2022, at least 70% of newly-built buildings must be green buildings; 2.Promote green building design; 3.Establish and improve energy star system for green buildings; 4. Improve energy and water consumption efficiency for existing buildings; 5.Improve health performance for buildings; 6. Promote prefabricated buildings; 7. Encourage the application of green building materials; 8. Strengthen green building R&amp;D; 9. Formulate Guideline for house inspection of green residential buildings. </t>
  </si>
  <si>
    <t>MOHURD, NDRC, MOE, MIIT, PBOC, NGOA, NFRA</t>
  </si>
  <si>
    <t>MOHURD [2020] No.65</t>
  </si>
  <si>
    <r>
      <t xml:space="preserve">Green Building Evaluation Standards </t>
    </r>
    <r>
      <rPr>
        <u/>
        <sz val="11"/>
        <color theme="10"/>
        <rFont val="等线"/>
        <family val="3"/>
        <charset val="134"/>
        <scheme val="minor"/>
      </rPr>
      <t>绿色建筑评价标准</t>
    </r>
  </si>
  <si>
    <t xml:space="preserve">The Ministry of Housing and Urban-Rural Development released the 2019 Green Building Evaluation Standards. The new "standards" have five major revisions including: 1. evaluation indicators are reduced from seven to five, including safety, comfortableness, convenience, energy efficiency, and environment; 2. the new standards add a basic level into the original three-star system building class; 3. the new standards focus on interactions between people and environment; 4. the new standards add more safety and health building functions; 5.the new standards add the requirements of charging stations and green finance. </t>
  </si>
  <si>
    <t xml:space="preserve">MHURD </t>
  </si>
  <si>
    <t>MHURD GB/T50378-2019</t>
  </si>
  <si>
    <r>
      <t xml:space="preserve">Standards for Lighting Design in Buildings  </t>
    </r>
    <r>
      <rPr>
        <u/>
        <sz val="11"/>
        <color theme="10"/>
        <rFont val="等线"/>
        <family val="3"/>
        <charset val="134"/>
        <scheme val="minor"/>
      </rPr>
      <t xml:space="preserve">建筑照明设计标准 </t>
    </r>
  </si>
  <si>
    <t>The main technical contents of the revision of this standard are: 1.the lighting power density limit specified in the original standard has been revised; 2.the lighting power density limit of public buildings has been supplemented; 3. the scope of application of incandescent lamps has been more strictly restricted; 4. the technical requirements for the application of LED lights to indoor lighting has been increased; 5. the standard lighting values of science and technology museums, art galleries, financial buildings, dormitories, apartments, and other places have been supplemented; 6. the energy-saving requirements of lighting have been improved and supplemented.</t>
  </si>
  <si>
    <t>MOHURD [2019]</t>
  </si>
  <si>
    <r>
      <t xml:space="preserve">Technical Standards for Near-Zero Energy Consumption Building  </t>
    </r>
    <r>
      <rPr>
        <u/>
        <sz val="11"/>
        <color theme="10"/>
        <rFont val="等线"/>
        <family val="3"/>
        <charset val="134"/>
        <scheme val="minor"/>
      </rPr>
      <t>近零能耗建筑技术标准</t>
    </r>
  </si>
  <si>
    <t>The Ministry of Housing and Urban-Rural Development released technical standards for near-zero energy consumption building for the first time.</t>
  </si>
  <si>
    <t>MOHURD GB/T51350-2019</t>
  </si>
  <si>
    <r>
      <t xml:space="preserve">Design Standards for Energy Efficiency of Residential Buildings in Severe Cold and Cold Zones </t>
    </r>
    <r>
      <rPr>
        <u/>
        <sz val="11"/>
        <color theme="10"/>
        <rFont val="等线"/>
        <family val="3"/>
        <charset val="134"/>
        <scheme val="minor"/>
      </rPr>
      <t>严寒和寒冷地区居住建筑节能设计标准</t>
    </r>
  </si>
  <si>
    <t>This is an update of the original " Design standards" released in 2010</t>
  </si>
  <si>
    <t>MOHURD - JGJ26-2018</t>
  </si>
  <si>
    <r>
      <t xml:space="preserve">Sponge City Construction Evaluation Standard </t>
    </r>
    <r>
      <rPr>
        <u/>
        <sz val="11"/>
        <color theme="10"/>
        <rFont val="等线"/>
        <family val="3"/>
        <charset val="134"/>
        <scheme val="minor"/>
      </rPr>
      <t>住房和城乡建设部关于发布国家标准《海绵城市建设评价标准》的公告</t>
    </r>
  </si>
  <si>
    <t>The "Sponge City Construction Evaluation Standard" is approved as a national standard, numbered GB/T51345-2018, and was implemented on August 1, 2019.</t>
  </si>
  <si>
    <t>MOHURD [2018] No.343</t>
  </si>
  <si>
    <r>
      <t xml:space="preserve">Energy-saving design standards for public buildings </t>
    </r>
    <r>
      <rPr>
        <u/>
        <sz val="11"/>
        <color theme="10"/>
        <rFont val="等线"/>
        <family val="3"/>
        <charset val="134"/>
        <scheme val="minor"/>
      </rPr>
      <t>公共建筑节能设计标准</t>
    </r>
  </si>
  <si>
    <t>China’s first energy-efficient building design standard was implemented in 1986 for buildings in the northern heating zones, being updated in 1995 and again in 2010. China also issued the Code for Acceptance of Energy Efficient Building Construction in 2007. The Acceptance Code makes compliance with building energy efficiency requirements mandatory for the final acceptance of a construction project.</t>
  </si>
  <si>
    <t>MOHURD GB50189-2015</t>
  </si>
  <si>
    <r>
      <t xml:space="preserve">Regulation on Energy Conservation in Civil Buildings  </t>
    </r>
    <r>
      <rPr>
        <u/>
        <sz val="11"/>
        <color theme="10"/>
        <rFont val="等线"/>
        <family val="3"/>
        <charset val="134"/>
        <scheme val="minor"/>
      </rPr>
      <t>民用建筑节能条例</t>
    </r>
  </si>
  <si>
    <t>The "Regulation" is to strengthen civil building energy conservation management, reduce energy consumption in the use of civil buildings, and raise energy efficiency. Important articles include: 1. Article 4 stipulates that the State encourages and supports solar energy, geothermal energy, and other renewable energy sources in new construction and the retrofit of existing buildings; 2. Article 7 stipulates that the State establishes a sound standard system for civil building energy conservation.</t>
  </si>
  <si>
    <t>All</t>
  </si>
  <si>
    <t>State Council</t>
  </si>
  <si>
    <t>State Council [2008] No.530</t>
  </si>
  <si>
    <t>N4. Low-carbon transportation</t>
  </si>
  <si>
    <r>
      <t xml:space="preserve">National Comprehensive Three-dimensional Transportation Network Planning Outline </t>
    </r>
    <r>
      <rPr>
        <u/>
        <sz val="11"/>
        <color theme="10"/>
        <rFont val="等线"/>
        <family val="3"/>
        <charset val="134"/>
        <scheme val="minor"/>
      </rPr>
      <t>国家综合立体交通网规划纲要</t>
    </r>
  </si>
  <si>
    <t>By 2035, the country's transport network should be convenient, cost-effective, green, intelligent, and safe, according to the Guideline jointly released by the Central Committee of the Communist Party of China and the State Council.</t>
  </si>
  <si>
    <t>Transport</t>
  </si>
  <si>
    <t>Sate Council [2021] No.8</t>
  </si>
  <si>
    <r>
      <t xml:space="preserve">Implementation Opinions Regarding Further Improving the Service Guarantee Capabilities of Battery Charging and Swapping Infrastructure </t>
    </r>
    <r>
      <rPr>
        <u/>
        <sz val="11"/>
        <color theme="10"/>
        <rFont val="等线"/>
        <family val="3"/>
        <charset val="134"/>
        <scheme val="minor"/>
      </rPr>
      <t>关于进一步提升充换电基础设施服务保障能力的实施意见</t>
    </r>
  </si>
  <si>
    <t xml:space="preserve">The " Implementation Opinion" includes: 1. Speed up the construction and installation of charging facilities in residential communities; 2.Enhance the battery charging and replacing ability in urban and rural areas; 3. Strengthen the RD&amp;D of new technologies such as car-network interaction; 4. Strengthen the operation and maintenance of battery charging and swapping facilities and network services; 5. Support grid construction and power supply services; 6. Strengthen quality and safety supervision; 7. Increase fiscal, taxation, and financial support. </t>
  </si>
  <si>
    <t>NDRC [2021]</t>
  </si>
  <si>
    <r>
      <t>Notice of the General Office of the Ministry of Commerce on Issuing the Guideline for Promoting Auto Sales in the Commercial Field and Some Local Experiences and Practices</t>
    </r>
    <r>
      <rPr>
        <u/>
        <sz val="11"/>
        <color theme="10"/>
        <rFont val="等线"/>
        <family val="3"/>
        <charset val="134"/>
        <scheme val="minor"/>
      </rPr>
      <t>商务部办公厅关于印发商务领域促进汽车消费工作指引和部分地方经验做法的通知</t>
    </r>
  </si>
  <si>
    <t>Main contents include: 1. Expand new car sales; 2. Develop used-car market; 3. Encourage car replacement; 4. Cultivate the automotive aftermarket; 5. Improve car usage conditions.</t>
  </si>
  <si>
    <t>MOC</t>
  </si>
  <si>
    <t>CAAM [2021]</t>
  </si>
  <si>
    <r>
      <t xml:space="preserve">Development Plan for the New Energy Vehicle Industry (2021 -2035) </t>
    </r>
    <r>
      <rPr>
        <u/>
        <sz val="11"/>
        <color theme="10"/>
        <rFont val="等线"/>
        <family val="3"/>
        <charset val="134"/>
        <scheme val="minor"/>
      </rPr>
      <t>新能源汽车产业发展规划（2021—2035年）</t>
    </r>
  </si>
  <si>
    <t>State Council issued national planning for the development of the new energy vehicle industry between 2021 and 2035. The planning includes eight chapters:</t>
  </si>
  <si>
    <t>Chapter 1 summarizes the latest trends of new energy vehicle development in both China and the world. Chapter 2 states the principles and objectives of the planning. Four principles include: 1. to be market-oriented; 2. to be innovation-driven; 3, to be cooperative and coordinated; 4. to be open and inclusive.  The objectives include the sales of new energy vehicles accounting for 20%  of overall new car sales by 2025. Chapter 3 emphasizes technology development goals in the next 15 years, including innovations in new energy vehicle manufacturing and the supply chain of the new energy vehicle. Chapter 4 suggests establishing a new industrial ecosystem that connects new energy vehicles, energy, transportation, internet, and telecommunications.  Chapter 5 lists four development routes for the new energy vehicle industry including: 1. interaction between new energy vehicles and the power grid; 2. interaction between new energy vehicle and renewable energies; 3. interaction between new energy vehicle, public transport, and logistics; 4. interaction between new energy vehicle and information and communications technology. Chapter 6 states goals of improving the infrastructure system of new energy vehicles: 1. development of charging stations; 2. development of battery swapping stations; 3. promotion of "Smart Roads" (e.g. digital road signs); 4. development of hydrogen fuel supply system. Chapter 7 suggests Chinese new energy vehicle industry should expand cooperation and communications with international entities and integrate into the global value chain. Chapter 8 states government measures in ensuring the sustainable development of the new energy vehicle industry. The measures include: 1. streamline the government, delegate power, and improve government service; 2. improve regulations and policies; 3. strengthen talent development; 4. Strengthen property rights protection; 5 enhance interdepartmental coordination.</t>
  </si>
  <si>
    <t xml:space="preserve">State Council [2020] No.39 </t>
  </si>
  <si>
    <r>
      <t xml:space="preserve">2020 Exemption of Vehicle Purchase Tax on New Energy Vehicles </t>
    </r>
    <r>
      <rPr>
        <u/>
        <sz val="11"/>
        <color theme="10"/>
        <rFont val="等线"/>
        <family val="3"/>
        <charset val="134"/>
        <scheme val="minor"/>
      </rPr>
      <t>关于新能源汽车免征车辆购置税有关政策的公告</t>
    </r>
  </si>
  <si>
    <t xml:space="preserve">The Ministry of Finance, the State Administration of Taxation, the Ministry of Industry and Information Technology, and the Ministry of Science and Technology renewed the "Exemption of Vehicle Purchase Tax on New Energy Vehicles," issued in 2014 and  2017.  The new version covers new energy vehicle purchases from January 1, 2021, to December 31, 2022. </t>
  </si>
  <si>
    <t>MOF, STA, MIIT</t>
  </si>
  <si>
    <t xml:space="preserve">MOF, STA, and MIIT [2020] No.21 </t>
  </si>
  <si>
    <r>
      <t xml:space="preserve">2020 Notice of Improving the Fiscal Subsidy Policies for the Promotion and Application of New Energy Vehicles </t>
    </r>
    <r>
      <rPr>
        <u/>
        <sz val="11"/>
        <color theme="10"/>
        <rFont val="等线"/>
        <family val="3"/>
        <charset val="134"/>
        <scheme val="minor"/>
      </rPr>
      <t>关于完善新能源汽车推广应用财政补贴政策的通知</t>
    </r>
  </si>
  <si>
    <t xml:space="preserve">The Ministry of Finance, the Ministry of Industry and Information Technology, the Ministry of Science and Technology, and the National Development and Reform Commission jointly issued updated fiscal subsidy policy for new energy vehicles (NEV) for the fiscal year 2020 to 2022. Policy updates include: 1. The fiscal subsidy policy will extend to the end of 2022. The subsidy degression rate has been reduced. From 2020 to 2022, subsidy standards for new energy vehicles will decrease by 10% annually.  For applications of new energy vehicles in public sectors, the subsidy degression will start from 2021 with the same annual degression rate of 10%. The number of new energy vehicle subsidies is limited to 2 million cars per year; 2. The technological standards for the energy density of NEV batteries remain unchanged in 2020; 3.The subsidy policy only applies to new energy vehicles with a purchase price of less than 300 thousand RMB. However, NEVs with battery swapping technology is not affected by this price restriction; 4. Subsidy policies for fuel-cell vehicles were adjusted—the new subsidy policies targeted regions with leading technology on the fuel cell. </t>
  </si>
  <si>
    <t>Four</t>
  </si>
  <si>
    <t>MOF, MIIT, MST, NDRC</t>
  </si>
  <si>
    <t xml:space="preserve">MOF [2020] No.86 </t>
  </si>
  <si>
    <r>
      <t xml:space="preserve">Notice of Supporting the Promotion and Application of New Energy Buses </t>
    </r>
    <r>
      <rPr>
        <u/>
        <sz val="11"/>
        <color theme="10"/>
        <rFont val="等线"/>
        <family val="3"/>
        <charset val="134"/>
        <scheme val="minor"/>
      </rPr>
      <t>关于支持新能源公交车推广应用的通知</t>
    </r>
  </si>
  <si>
    <t xml:space="preserve">The Ministry of Finance, the Ministry of Industry and Information Technology, the Ministry of Transport, and the National Development and Reform Commission jointly issued a nation-wide supporting policy to promote and apply new energy buses. The policy guides fiscal policies in promoting new energy buses and replacing buses run on gasoline. The supportive fiscal policies include preferential tax policies, national-level subsidies, and local-level subsidies. </t>
  </si>
  <si>
    <t>MOF, MIIT, MOT, NDRC</t>
  </si>
  <si>
    <t xml:space="preserve">MOF [2019] No.213 </t>
  </si>
  <si>
    <r>
      <t xml:space="preserve">2018 Preferential Vehicle and Vessel Tax Policies for Energy-saving and New-energy Vehicles and Vessels </t>
    </r>
    <r>
      <rPr>
        <u/>
        <sz val="11"/>
        <color theme="10"/>
        <rFont val="等线"/>
        <family val="3"/>
        <charset val="134"/>
        <scheme val="minor"/>
      </rPr>
      <t>关于节能 新能源车船享受车船税优惠政策的通知</t>
    </r>
  </si>
  <si>
    <t xml:space="preserve">The Ministry of Finance, the State Administration of Taxation, and the Ministry of Industry and Information Technology updated preferential tax policies to vessels and vehicles that are either energy-efficient or powered by new energies. Following technological improvements and industrial development, the updated policy revised its qualifying standards for energy-saving and new energy vessels and vehicles. </t>
  </si>
  <si>
    <t>MOF, STA, MIIT, MOT</t>
  </si>
  <si>
    <t>MOF [2018] No. 74</t>
  </si>
  <si>
    <r>
      <t xml:space="preserve">Measures for the Parallel Administration of the Corporate Average Fuel Consumption Credit and New Energy Vehicle Credit of Passenger Vehicles Enterprises </t>
    </r>
    <r>
      <rPr>
        <u/>
        <sz val="11"/>
        <color theme="10"/>
        <rFont val="等线"/>
        <family val="3"/>
        <charset val="134"/>
        <scheme val="minor"/>
      </rPr>
      <t>乘用车企业平均燃料消耗量与新能源汽车积分并行管理办法</t>
    </r>
  </si>
  <si>
    <t>The Ministry of Industry and Information Technology, the Ministry of Finance, the Ministry of Commerce, the General Administration of Customs, and the General Administration of Quality Supervision, Inspection, and Quarantine jointly issued the "measures" known as the Dual Credit policy. The Dual Credit policy, which would come into force in April 2018, was enacted to promote new energy vehicles' development and commercialization. The policy also requires light-duty passenger vehicles sold in China to comply with corporate average fuel consumption standards.</t>
  </si>
  <si>
    <t xml:space="preserve">The Dual Credit policy includes two parallel rules: Corporate Average Fuel Consumption (CAFC) credit and New Energy Vehicles (NEV) credit rules. The CAFC credit rules set increasingly stringent standards for production-weighted average fuel consumption for passenger vehicle manufacturers. The NEV credit rules set increasing NEV credit ratio for each passenger vehicle manufacturers and sellers. The NEV credit ratio is calculated by the total credits from NEV sales divided by the total vehicle sales in a given year.  The Dual Credit policy allows the trading of NEV credits among vehicle manufacturers and sellers. The Dual Credit policy also allows carmakers to use NEV credits to offset CAFC credit deficits, but not vice versa. From 2019 to 2020, the NEV credit ratio is set to be 10% and 12%, respectively. </t>
  </si>
  <si>
    <t>Five</t>
  </si>
  <si>
    <t>MIIT, MOF, MOC, GAC, GAQSIQ</t>
  </si>
  <si>
    <t>Tradable permits</t>
  </si>
  <si>
    <t>MIIT [2020] No. 53</t>
  </si>
  <si>
    <r>
      <t xml:space="preserve">Limits and Measurement Methods for Emissions from Light-Duty Vehicles (Stage 6) </t>
    </r>
    <r>
      <rPr>
        <u/>
        <sz val="11"/>
        <color theme="10"/>
        <rFont val="等线"/>
        <family val="3"/>
        <charset val="134"/>
        <scheme val="minor"/>
      </rPr>
      <t>关于发布国家污染物排放标准《轻型汽车污染物排放限值及测量方法（中国第六阶段）》的公告</t>
    </r>
  </si>
  <si>
    <t xml:space="preserve">In December 2016, MEP released the final rule of the Stage 6 Limits and Measurement Methods for Emissions from Light-Duty Vehicles. The China Stage Six standard, which is to take effect beginning on July 1, 2020, is one of the most stringent emission standards around the world for the post-2020 time frame. Unlike the previous standard phases, which closely follow the European emission standards, the China Stage 6 standard combines best practices from both European and U.S. regulation requirements (California regulations) to create its own. </t>
  </si>
  <si>
    <t>MEP [2016] No. 79</t>
  </si>
  <si>
    <t>N5. Circular economy</t>
  </si>
  <si>
    <r>
      <t xml:space="preserve">Interim Measures for the Standardized Management of Auto Parts Remanufacturing  </t>
    </r>
    <r>
      <rPr>
        <u/>
        <sz val="11"/>
        <color theme="10"/>
        <rFont val="等线"/>
        <family val="3"/>
        <charset val="134"/>
        <scheme val="minor"/>
      </rPr>
      <t>关于印发《汽车零部件再制造规范管理暂行办法》的通知</t>
    </r>
  </si>
  <si>
    <t>To standardize the remanufacturing behavior and market order of auto parts, ensure the quality of remanufactured products, and promote the standardized development of the remanufacturing industry, the National Development and Reform Commission has formulated the "Interim Measures for the Standardized Management of Auto Parts Remanufacturing."</t>
  </si>
  <si>
    <t>Eight</t>
  </si>
  <si>
    <t>NDRC, MIIT, MEE, MOT, MOC, GAC,SAMR, CBIRC</t>
  </si>
  <si>
    <t>NDRC [2021] No.528</t>
  </si>
  <si>
    <r>
      <t xml:space="preserve">Notice of the National Development and Reform Commission on Issuing the "14th Five-Year " Circular Economy Development Plan </t>
    </r>
    <r>
      <rPr>
        <u/>
        <sz val="11"/>
        <color theme="10"/>
        <rFont val="等线"/>
        <family val="3"/>
        <charset val="134"/>
        <scheme val="minor"/>
      </rPr>
      <t>国家发展改革委关于印发“十四五”循环经济发展规划的通知</t>
    </r>
  </si>
  <si>
    <t>The "Plan" proposes that by 2025, China's main resource output rate will increase by about 20% compared to the 2020 level. The unit GDP energy consumption and water consumption will be reduced by about 13.5% and 16%, respectively, compared to the 2020 level. The comprehensive utilization rate of bulk solid waste will reach 60%. Additionally, waste paper and scrap steel utilization will reach 60 million tons and 320 million tons, respectively.</t>
  </si>
  <si>
    <t>NDRC [2021] No.969</t>
  </si>
  <si>
    <r>
      <t xml:space="preserve">Guiding Opinions on Accelerating the Establishment and Improvement of a Green and Low-Carbon Circular Development Economic System </t>
    </r>
    <r>
      <rPr>
        <u/>
        <sz val="11"/>
        <color theme="10"/>
        <rFont val="等线"/>
        <family val="3"/>
        <charset val="134"/>
        <scheme val="minor"/>
      </rPr>
      <t>关于加快建立健全绿色低碳循环发展经济体系的指导意见</t>
    </r>
  </si>
  <si>
    <t>The "Guiding Opinions" deployed essential tasks from six aspects: 1. Improve the production system for green and low-carbon circular development; 2. Improve the circulation system for green and low-carbon circular development; 3. Improve the consumption system for green and low-carbon circular development; 4. Accelerate the green upgrade of infrastructure; 5. Build a market-oriented green technology innovation system; 6. Improve the system of laws, regulations, and policies.</t>
  </si>
  <si>
    <t>State Council [2021]</t>
  </si>
  <si>
    <r>
      <t xml:space="preserve">Notice on Issuing the Implementation Plan for the Pilot Extension of Auto Product Producers' Responsibility </t>
    </r>
    <r>
      <rPr>
        <u/>
        <sz val="11"/>
        <color theme="10"/>
        <rFont val="等线"/>
        <family val="3"/>
        <charset val="134"/>
        <scheme val="minor"/>
      </rPr>
      <t>工业和信息化部 科技部财政部商务部关于印发汽车产品生产者责任延伸试点实施方案的通知</t>
    </r>
  </si>
  <si>
    <t>By 2023, the comprehensive utilization rate of renewable resources of scrapped automobiles will reach 75%.  The recycling rate of automobiles will reach 95%. The utilization rate of renewable raw materials for key components will be no less than 5%.</t>
  </si>
  <si>
    <t>MIIT, MST, MOF, MOC</t>
  </si>
  <si>
    <t>MIIT [2021] No.129</t>
  </si>
  <si>
    <r>
      <t xml:space="preserve">Notice on Encouraging Home Appliance Manufacturers to Carry out Recycling Target Accountability Actions </t>
    </r>
    <r>
      <rPr>
        <u/>
        <sz val="11"/>
        <color theme="10"/>
        <rFont val="等线"/>
        <family val="3"/>
        <charset val="134"/>
        <scheme val="minor"/>
      </rPr>
      <t>三部门关于鼓励家电生产企业开展回收目标责任制行动的通知</t>
    </r>
  </si>
  <si>
    <t>Home appliance manufacturers are encouraged to carry out recycling target accountability actions. Based on the product sales and maintenance service network, home appliance manufacturers are encouraged to build a reverse recycling system for waste home appliances, optimize recycling channels, and smooth the production, circulation, consumption, and recycling of home appliances.</t>
  </si>
  <si>
    <t>NDRC, MIIT, MEE</t>
  </si>
  <si>
    <t>MIIT [2021] No.1102</t>
  </si>
  <si>
    <r>
      <t xml:space="preserve">The Circular Economy Promotion Law of the People's Republic of China (2018 Revision) </t>
    </r>
    <r>
      <rPr>
        <u/>
        <sz val="11"/>
        <color theme="10"/>
        <rFont val="等线"/>
        <family val="3"/>
        <charset val="134"/>
        <scheme val="minor"/>
      </rPr>
      <t>中华人民共和国循环经济促进法</t>
    </r>
  </si>
  <si>
    <t>This law is formulated to promote the development of a circular economy, improve resource utilization efficiency, protect the environment, and achieve sustainable development.</t>
  </si>
  <si>
    <t>NPC [2018]</t>
  </si>
  <si>
    <t>N6. Green technology and innovation</t>
  </si>
  <si>
    <r>
      <t xml:space="preserve">Guiding Opinions of the National Development and Reform Commission and the National Energy Administration on Accelerating the Development of New Energy Storage </t>
    </r>
    <r>
      <rPr>
        <u/>
        <sz val="11"/>
        <color theme="10"/>
        <rFont val="等线"/>
        <family val="3"/>
        <charset val="134"/>
        <scheme val="minor"/>
      </rPr>
      <t>国家发展改革委国家能源局关于加快推动新型储能发展的指导意见</t>
    </r>
  </si>
  <si>
    <t xml:space="preserve">By 2025, the installed capacity of new energy storage shall be more than 30 million kilowatts. </t>
  </si>
  <si>
    <t>Research and development</t>
  </si>
  <si>
    <t>NDRC, NEA [2021] No.1051</t>
  </si>
  <si>
    <r>
      <t xml:space="preserve">Guideline on promoting the development of the biogas industry </t>
    </r>
    <r>
      <rPr>
        <u/>
        <sz val="11"/>
        <color theme="10"/>
        <rFont val="等线"/>
        <family val="3"/>
        <charset val="134"/>
        <scheme val="minor"/>
      </rPr>
      <t>关于促进生物天然气产业化发展的指导意见</t>
    </r>
  </si>
  <si>
    <t>The guideline, released by NDRC and nine other government agencies, calls for establishing an industrial system regarding the production and consumption of biogas. Biogas is expected to play an increasingly important role in sustainable heat generation in northern China. China's annual biogas shall reach over 10 billion cubic meters by 2025 and over 20 billion cubic meters by 2030. Furthermore, priority regarding the utilization of biogas and tax concessions shall be put in place to promote the sector’s development.</t>
  </si>
  <si>
    <t>NDRC, NEA, MOF, MNR, MEE, MHURD, MARA, MEM, PBOC, STA</t>
  </si>
  <si>
    <t>NDRC [2019] No.1895</t>
  </si>
  <si>
    <r>
      <t xml:space="preserve">Notice on the issuance of the "Implementation Plan of 5G Application in the Energy Field" </t>
    </r>
    <r>
      <rPr>
        <u/>
        <sz val="11"/>
        <color theme="10"/>
        <rFont val="等线"/>
        <family val="3"/>
        <charset val="134"/>
        <scheme val="minor"/>
      </rPr>
      <t>关于印发《能源领域5G应用实施方案》的通知</t>
    </r>
  </si>
  <si>
    <t>Development goals include: 1. Expand 5G application to coal mines, oil and gas, integrated energy, manufacturing and construction, power plants, and electricity grids in the next three to five years; 2. Build a batch of 5G industry private networks or virtual private networks; 3. Explore the formation of competitive business models that can be replicated and quickly promoted.</t>
  </si>
  <si>
    <t>NDRC, NEA, CAC, MIIT</t>
  </si>
  <si>
    <t>NDRC [2021] NO.807</t>
  </si>
  <si>
    <r>
      <t>Notice on Launching the Demonstration Project of Fuel Cell Vehicle</t>
    </r>
    <r>
      <rPr>
        <u/>
        <sz val="11"/>
        <color theme="10"/>
        <rFont val="等线"/>
        <family val="3"/>
        <charset val="134"/>
        <scheme val="minor"/>
      </rPr>
      <t>开展燃料电池汽车示范应用</t>
    </r>
  </si>
  <si>
    <t xml:space="preserve">The Ministry of Finance, the Ministry of Industry and Information Technology, the Ministry of Science and Technology, the National Development and Reform Commission, and the National Energy Administration (hereinafter referred to as the five departments) jointly issued policies in promoting the demonstration and application of fuel cell vehicles.  The five departments abolished the purchase subsidy for fuel cell vehicles. Instead, the five departments will provide financial rewards to qualified city clusters that tackled key technologies of fuel cell vehicles. Cities with robust fuel cell technologies should apply together to be designated as city clusters. Five departments will reward each city cluster based on each city cluster's annual performance. The demonstration program is tentatively set for four years. </t>
  </si>
  <si>
    <t>MOF, MIIT, MST, NDRC, NEA</t>
  </si>
  <si>
    <t>MOF [2020] No. 394</t>
  </si>
  <si>
    <t xml:space="preserve">N7. Carbon Pricing </t>
  </si>
  <si>
    <r>
      <t xml:space="preserve">The Measures for the Administration of National Carbon Emission Trading (Trial) </t>
    </r>
    <r>
      <rPr>
        <u/>
        <sz val="11"/>
        <color theme="10"/>
        <rFont val="等线"/>
        <family val="3"/>
        <charset val="134"/>
        <scheme val="minor"/>
      </rPr>
      <t>碳排放权交易管理办法（试行）</t>
    </r>
  </si>
  <si>
    <t>The measures provide a legal basis for the national ETS and replace the interim measures published by NDRC in 2014. MEE will establish the National Carbon Emission Trading Registration Agency, the National Carbon Emission Trading Agency, the National Carbon Emission Trading Registration System, and the National Carbon Emission Trading System. The national ETS governance is constructed as a three-tiered structure, including national, provincial, and municipal-level authorities. Key emitters incorporated into the National Carbon Emission Trading system will withdraw from the regional carbon emission trading systems. Covered entities can use Chinese Certified Emission Reductions for up to 5% of their verified emissions per year.  Failures in reporting are subject to a fine between 10,000 and 30,000 RMB. Failures in compliance obligations are subject to a fine between 20,000 and 30,000 RMB.</t>
  </si>
  <si>
    <t>Policy documents outlining other key areas of the ETS design are expected to be finalized in the coming months, with some already released for public consultation. In addition to the draft “Administrative Measures for the Registration, Trading, and Settlement of the National Carbon Emission Rights (Trial)”, two draft documents on MRV were released in December 2020. The “Guideline on Enterprise Greenhouse Gas Emissions Accounting and Reporting − Power Generation Facilities” build on two existing technical Guideline and aim to establish the MRV foundation for the national ETS. The “Guideline for Enterprise Greenhouse Gas Verification (Trial)”  build on a previous document from 2016 and provide further details on verification.</t>
  </si>
  <si>
    <t xml:space="preserve">MEE [2021] No.19  </t>
  </si>
  <si>
    <t>N8. Carbon Dioxide Removal</t>
  </si>
  <si>
    <r>
      <t xml:space="preserve">2021 -2035 National Plan for Major Ecosystem Protection and Restoration Projects </t>
    </r>
    <r>
      <rPr>
        <u/>
        <sz val="11"/>
        <color theme="10"/>
        <rFont val="等线"/>
        <family val="3"/>
        <charset val="134"/>
        <scheme val="minor"/>
      </rPr>
      <t>全国重要生态系统保护和修复重大工程总体规划（2021-2035年）</t>
    </r>
  </si>
  <si>
    <t xml:space="preserve">The "Plan" sets the objectives of improving the national forest coverage rate to 26%,  the grassland vegetation coverage rate to 60%, and the wetland protection rate to 60% by 2035. The plan also aims to improve desertification, ocean ecosystem degradation,  and wild animal extinction. </t>
  </si>
  <si>
    <t>NDRC, MNR</t>
  </si>
  <si>
    <t>Agriculture, forestry and land use</t>
  </si>
  <si>
    <t xml:space="preserve">NDRC [2020] No.837 </t>
  </si>
  <si>
    <r>
      <t xml:space="preserve">Notice on reporting relevant information about the carbon dioxide capture, utilization and storage (CCUS) project </t>
    </r>
    <r>
      <rPr>
        <u/>
        <sz val="11"/>
        <color theme="10"/>
        <rFont val="等线"/>
        <family val="3"/>
        <charset val="134"/>
        <scheme val="minor"/>
      </rPr>
      <t>国家发展改革委办公厅关于请报送二氧化碳捕集利用与封存（CCUS）项目有关情况的通知</t>
    </r>
  </si>
  <si>
    <t>The National Development and Reform Commission of China has notified that industries including but not limited to thermal power, chemical industry, oil and gas exploration, cement, steel, and other industries are required to submit relevant information about carbon dioxide capture, utilization, and storage (CCUS) projects to scientifically evaluate carbon dioxide capture, utilization, and storage technologies and current status of the project.</t>
  </si>
  <si>
    <t>NDRC [2021] No.496</t>
  </si>
  <si>
    <r>
      <t xml:space="preserve">National Forest City Development Plan 2018 -2025 </t>
    </r>
    <r>
      <rPr>
        <u/>
        <sz val="11"/>
        <color theme="10"/>
        <rFont val="等线"/>
        <family val="3"/>
        <charset val="134"/>
        <scheme val="minor"/>
      </rPr>
      <t>全国森林城市发展规划（2018-2025年）</t>
    </r>
  </si>
  <si>
    <t>The "Plan" aims to establish six national forest city clusters and 200 national forest cities by 2020, establish 300 national forest cities by 2025, and make every Chinese city a national forest city by 2035.</t>
  </si>
  <si>
    <t>SFGA</t>
  </si>
  <si>
    <t>SFGA [2018] No.38</t>
  </si>
  <si>
    <r>
      <t xml:space="preserve">National Reserve Forest Construction Plan (2018-2035) </t>
    </r>
    <r>
      <rPr>
        <u/>
        <sz val="11"/>
        <color theme="10"/>
        <rFont val="等线"/>
        <family val="3"/>
        <charset val="134"/>
        <scheme val="minor"/>
      </rPr>
      <t>国家储备林建设规划（2018-2035年）</t>
    </r>
  </si>
  <si>
    <t>The "Plan" aims to expand the national reserve forest to 7 million hectares by 2020 and 20 million hectares by 2035.</t>
  </si>
  <si>
    <t>SFGA [2018]</t>
  </si>
  <si>
    <r>
      <t xml:space="preserve">National Forest Management Plan (2016-2050) </t>
    </r>
    <r>
      <rPr>
        <u/>
        <sz val="11"/>
        <color theme="10"/>
        <rFont val="等线"/>
        <family val="3"/>
        <charset val="134"/>
        <scheme val="minor"/>
      </rPr>
      <t>全国森林经营规划（2016-2050年）</t>
    </r>
  </si>
  <si>
    <t>The “Plan” sets the objective to raise the forest cover to over 26 percent by 2050 and increase the forest stock volume to 23 billion cubic meters.</t>
  </si>
  <si>
    <t>SFGA [2016] No.88</t>
  </si>
  <si>
    <t>N9. Other supporting policies</t>
  </si>
  <si>
    <r>
      <t xml:space="preserve">14th Five-Year Plan and 2035 Long Term Goals </t>
    </r>
    <r>
      <rPr>
        <u/>
        <sz val="11"/>
        <color theme="10"/>
        <rFont val="等线"/>
        <family val="3"/>
        <charset val="134"/>
        <scheme val="minor"/>
      </rPr>
      <t>十四个五年规划和2035年远景目标纲要</t>
    </r>
  </si>
  <si>
    <t>Climate goals include: (1) 18% reduction target for CO2 intensity; (2) 13.5% reduction target for energy intensity; (3) National forest coverage reaches at 24.1% (national forest coverage was 23.2% in 2019); (4) The percentage of non-fossil fuels as primary energy consumption reaches 20%; (5) Nuclear power installed capacity reaches 70 million kilowatt.</t>
  </si>
  <si>
    <r>
      <t xml:space="preserve">Implementation of the New Development Concept and the Work of Carbon Peaking and Carbon Neutrality </t>
    </r>
    <r>
      <rPr>
        <u/>
        <sz val="11"/>
        <color theme="10"/>
        <rFont val="等线"/>
        <family val="3"/>
        <charset val="134"/>
        <scheme val="minor"/>
      </rPr>
      <t>全面贯彻新发展理念做好碳达峰碳中和工作的意见</t>
    </r>
  </si>
  <si>
    <t>The goal is to balance development and emission reduction, addressing both short-term and long-term needs while incorporating carbon peaking and carbon neutrality into the broader context of economic and social development.</t>
  </si>
  <si>
    <t>Action Plan for Carbon Peaking before 2030</t>
  </si>
  <si>
    <r>
      <t>国务院关于印发</t>
    </r>
    <r>
      <rPr>
        <u/>
        <sz val="11"/>
        <color theme="10"/>
        <rFont val="等线"/>
        <family val="3"/>
        <charset val="134"/>
        <scheme val="minor"/>
      </rPr>
      <t>2030年前碳达峰行动方案的通知</t>
    </r>
  </si>
  <si>
    <t>The aim is to set clear goals and tasks for each region, field, and industry to ensure the achievement of carbon peaking goal by 2030.</t>
  </si>
  <si>
    <t>State Council [2021] No.23</t>
  </si>
  <si>
    <r>
      <t xml:space="preserve">14th Five-Year Plan for Energy Conservation and Emission Reductions </t>
    </r>
    <r>
      <rPr>
        <u/>
        <sz val="11"/>
        <color theme="10"/>
        <rFont val="等线"/>
        <family val="3"/>
        <charset val="134"/>
        <scheme val="minor"/>
      </rPr>
      <t>国务院关于印发“十四五”节能减排综合工作方案的通知</t>
    </r>
  </si>
  <si>
    <t xml:space="preserve">The goal is to improve and implement the dual control system for energy consumption intensity and total volume, as well as the total emissions control of major pollutants. </t>
  </si>
  <si>
    <t>State Council [2021] No.33</t>
  </si>
  <si>
    <r>
      <t xml:space="preserve">Energy Conservation Law of the People's Republic of China </t>
    </r>
    <r>
      <rPr>
        <u/>
        <sz val="11"/>
        <color theme="10"/>
        <rFont val="等线"/>
        <family val="3"/>
        <charset val="134"/>
        <scheme val="minor"/>
      </rPr>
      <t>中华人民共和国节约能源法</t>
    </r>
  </si>
  <si>
    <t xml:space="preserve">The "Energy Conservation Law of the People's Republic of China" is formulated to promote the energy conservation of the whole society, improve energy utilization efficiency, protect and improve the environment, and promote comprehensive, coordinated, and sustainable economic and social development. </t>
  </si>
  <si>
    <t xml:space="preserve">Revised in 2016, first issued in 1997 </t>
  </si>
  <si>
    <t>State Council Presidential Order 48</t>
  </si>
  <si>
    <r>
      <t xml:space="preserve">Energy Supply and Consumption Revolution Strategy (2016-2030) </t>
    </r>
    <r>
      <rPr>
        <u/>
        <sz val="11"/>
        <color theme="10"/>
        <rFont val="等线"/>
        <family val="3"/>
        <charset val="134"/>
        <scheme val="minor"/>
      </rPr>
      <t>能源生产和消费革命战略（2016-2030）</t>
    </r>
  </si>
  <si>
    <t>In April 2017, NDRC and NEA publicly released  "Energy Supply and Consumption Revolution Strategy (2016-2030) " which sets out the Chinese energy sector's main overall targets and strategies for 2030. The document sets a pathway beyond the 13th Five Year Plan for energy (2016-2020).</t>
  </si>
  <si>
    <t>Goals: 1. From 2021 to 2030, the total energy consumption will be controlled within 6 billion tons of standard coal; 2. The proportion of non-fossil energy in total energy consumption will reach 20%; 3. The ratio of natural gas will reach 15%; 4. Carbon dioxide emissions per unit of GDP will be 60%-65% lower than the 2005 level; 5. Carbon dioxide emissions will reach a peak around 2030 and strive to reach the peak as soon as possible; 6. Energy consumption per unit of GDP (current price) will reach the current world average level.</t>
  </si>
  <si>
    <t>NDRC [2016] No.2795</t>
  </si>
  <si>
    <r>
      <t xml:space="preserve">Notice of the National Development and Reform Commission on the action plan for deepening the reform of the price mechanism during the "14th Five-Year Plan" period </t>
    </r>
    <r>
      <rPr>
        <u/>
        <sz val="11"/>
        <color theme="10"/>
        <rFont val="等线"/>
        <family val="3"/>
        <charset val="134"/>
        <scheme val="minor"/>
      </rPr>
      <t>国家发展改革委关于“十四五”时期深化价格机制改革行动方案的通知</t>
    </r>
  </si>
  <si>
    <t>Energy price reforms include: 1. Deepen the reform of electricity prices (e.g., the market-oriented reform of on-grid electricity prices for coal-fired power generation, gas-fired power generation, hydropower, and nuclear power); 2. Improve the price formation mechanism for wind power, photovoltaic power, and pumped storage; 3. Improve the green electricity price policy; 4. Advance the reform of the oil and natural gas prices; 5. Improve the price formation mechanism for natural gas pipeline transportation.</t>
  </si>
  <si>
    <t xml:space="preserve">NDRC </t>
  </si>
  <si>
    <t>NDRC [2021] NO.689</t>
  </si>
  <si>
    <r>
      <t xml:space="preserve">Energy Technology Revolution and Innovation Action Plan (2016-2030) </t>
    </r>
    <r>
      <rPr>
        <u/>
        <sz val="11"/>
        <color theme="10"/>
        <rFont val="等线"/>
        <family val="3"/>
        <charset val="134"/>
        <scheme val="minor"/>
      </rPr>
      <t>能源技术革命创新行动计划（2016-2030年）</t>
    </r>
  </si>
  <si>
    <t xml:space="preserve">The plan's objective is that by 2020, China should see a significant improvement in independent energy innovation, with significant breakthroughs in key technologies and a decrease in foreign dependence for energy technology and equipment, key components, and materials. By 2030, a sound energy technology innovation system will be in place, with a capacity to support sustainable development in the energy sector. The Action Plan also includes a Roadmap of Key Innovation Actions for the Energy Technology Revolution, putting forward innovative objectives for 2020, 2030, and 2050. </t>
  </si>
  <si>
    <t>NDRC Energy [2016] No.513</t>
  </si>
  <si>
    <r>
      <t xml:space="preserve">Atmospheric Pollution Prevention and Control Law of the People's Republic of China (2018 Amendment) </t>
    </r>
    <r>
      <rPr>
        <u/>
        <sz val="11"/>
        <color theme="10"/>
        <rFont val="等线"/>
        <family val="3"/>
        <charset val="134"/>
        <scheme val="minor"/>
      </rPr>
      <t>中华人民共和国大气污染防治法(2018修正)</t>
    </r>
  </si>
  <si>
    <t>The Atmospheric Pollution Prevention and Control Law of the People’s Republic of China is formulated to protect and improve the environment, prevent and control air pollution, protect public health, promote ecological civilization, and promote sustainable economic and social development.</t>
  </si>
  <si>
    <t>National People's Congress [2018]</t>
  </si>
  <si>
    <t>N.10 Green finance</t>
  </si>
  <si>
    <r>
      <t xml:space="preserve">Green Finance Evaluation System for Financial Institutions </t>
    </r>
    <r>
      <rPr>
        <u/>
        <sz val="11"/>
        <color theme="10"/>
        <rFont val="等线"/>
        <family val="3"/>
        <charset val="134"/>
        <scheme val="minor"/>
      </rPr>
      <t>银行业金融机构绿色金融评价方案</t>
    </r>
  </si>
  <si>
    <t xml:space="preserve">The People's Bank of China released the evaluation plan for deposit-taking financial institutions' green financial performance. The policy included both green loans and green bonds to assess financial institutions' green financial performance for Chinese financial institutions. </t>
  </si>
  <si>
    <t>PBOC</t>
  </si>
  <si>
    <t xml:space="preserve">PBOC [2021]  </t>
  </si>
  <si>
    <r>
      <t xml:space="preserve">Notice on Guiding to Increase Financial Support to Promote the Healthy and Orderly Development of Wind Power and Photovoltaic Power Generation Industries </t>
    </r>
    <r>
      <rPr>
        <u/>
        <sz val="11"/>
        <color theme="10"/>
        <rFont val="等线"/>
        <family val="3"/>
        <charset val="134"/>
        <scheme val="minor"/>
      </rPr>
      <t>关于引导加大金融支持力度 促进风电和光伏发电等行业健康有序发展的通知</t>
    </r>
  </si>
  <si>
    <t>Affected by many factors, some renewable energy companies have tight cash flow and difficulties in production and operation. To increase financial support and promote the healthy and orderly development of wind power and photovoltaic power generation industries, the relevant matters are hereby notified as follows: 1. Fully understand the importance of the healthy and orderly development of wind power and photovoltaic power generation industries; 2. Financial institutions shall negotiate with renewable energy companies to extend or renew loans in accordance with commercialization principles; 3. Financial institutions shall independently issue subsidized loans in accordance with the principles of marketization and the rule of law; 4. Provide proper support to subsidized loans; 5. The subsidy funds shall be managed by opening accounts at designated locations of the lending bank; 7. Appropriately make up for the interest cost borne by the enterprise through the issuance of green power certificates; 7. Fully levy renewable energy tariff surcharges; 8. Give priority to subsidies and further increase credit support.</t>
  </si>
  <si>
    <t>NDRC, MOF, PBOC, CBIRC, NEA</t>
  </si>
  <si>
    <t>NDRC [2021] No.266</t>
  </si>
  <si>
    <r>
      <t xml:space="preserve">The Catalogue of Projects Supported by Green Bonds (2021) </t>
    </r>
    <r>
      <rPr>
        <u/>
        <sz val="11"/>
        <color theme="10"/>
        <rFont val="等线"/>
        <family val="3"/>
        <charset val="134"/>
        <scheme val="minor"/>
      </rPr>
      <t>绿色债券支持项目目录（2021年版）</t>
    </r>
  </si>
  <si>
    <t>Green bonds refer to raised funds to support green industries, green projects, or green economies that meet the prescribed conditions.</t>
  </si>
  <si>
    <t>PBOC, NDRC, CSRC</t>
  </si>
  <si>
    <t>PBOC [2021] No.96</t>
  </si>
  <si>
    <r>
      <t xml:space="preserve">The Catalogue of Projects Supported by Green Bonds (2020) </t>
    </r>
    <r>
      <rPr>
        <u/>
        <sz val="11"/>
        <color theme="10"/>
        <rFont val="等线"/>
        <family val="3"/>
        <charset val="134"/>
        <scheme val="minor"/>
      </rPr>
      <t>绿色债券支持项目目录（2020年版）</t>
    </r>
  </si>
  <si>
    <t>The People's Bank of China, the National Development and Reform Commission, and the China Securities Regulation Commission jointly drafted the  “Catalogue (2020)”, which supported six green industries but added more sub-sectors. The latest version deleted the clean use of fossil fuels for the first time to improve Chinese green bond standards in alignment with international standards.</t>
  </si>
  <si>
    <r>
      <t xml:space="preserve">Notice on Promoting Financial Support for the Green Development of County Industries </t>
    </r>
    <r>
      <rPr>
        <u/>
        <sz val="11"/>
        <color theme="10"/>
        <rFont val="等线"/>
        <family val="3"/>
        <charset val="134"/>
        <scheme val="minor"/>
      </rPr>
      <t>工业和信息化部中国农业银行关于推进金融支持县域工业绿色发展工作的通知</t>
    </r>
  </si>
  <si>
    <t>The industrial and information authorities at all levels and the Agricultural Bank of China shall support the green transformation of the entire industrial value chain, including industrial design, production, logistics, and consumption, to promote the green transformation of county-level industries. Key areas include: (1) Speed up the green transition and upgrading of the manufacturing industry; (2) Strengthen the technological innovation of green manufacturing; (3) Build a green manufacturing system; (4) Cultivate and expand the green environmental protection industry.</t>
  </si>
  <si>
    <t>MIIT, ABC</t>
  </si>
  <si>
    <t>MIIT [2018] No.247</t>
  </si>
  <si>
    <r>
      <t xml:space="preserve">Notice on Accelerating Industrial Energy Conservation and Green Development  </t>
    </r>
    <r>
      <rPr>
        <u/>
        <sz val="11"/>
        <color theme="10"/>
        <rFont val="等线"/>
        <family val="3"/>
        <charset val="134"/>
        <scheme val="minor"/>
      </rPr>
      <t>关于加快推进工业节能与绿色发展的通知</t>
    </r>
  </si>
  <si>
    <t xml:space="preserve">The “Notice”, issued by MIIT and CDB in March 2019, aims to support energy conservation and consumption reduction and achieve green development through green finance measures. It emphasizes the supporting role of green finance for industrial energy conservation and green development. It also identifies critical areas for green financial measures, including improving industrial energy efficiency, clean production, increasing resource efficiency, and developing green manufacturing systems. </t>
  </si>
  <si>
    <t>MIIT, CDB</t>
  </si>
  <si>
    <t>MIIT [2019] No.16</t>
  </si>
  <si>
    <t xml:space="preserve">Notes: </t>
  </si>
  <si>
    <t>This policy inventory was completed at the end of 2021. We used the definition of policy instruments from the IPCC Fourth Assessment Report (https://archive.ipcc.ch/publications_and_data/ar4/wg3/en/ch13s13-1-1.html#footnote1).</t>
  </si>
  <si>
    <t xml:space="preserve">Policy Document </t>
    <phoneticPr fontId="1" type="noConversion"/>
  </si>
  <si>
    <t>国务院关于加快建立健全绿色低碳循环发展经济体系的指导意见</t>
  </si>
  <si>
    <t>天津市加快建立健全绿色低碳循环发展经济体系实施方案</t>
  </si>
  <si>
    <t>上海市关于加快建立健全绿色低碳循环发展经济体系的实施方案</t>
  </si>
  <si>
    <t>重庆市关于加快建立健全绿色低碳循环经济体系的实施意见</t>
    <phoneticPr fontId="1" type="noConversion"/>
  </si>
  <si>
    <r>
      <t>2021/10/11</t>
    </r>
    <r>
      <rPr>
        <sz val="11"/>
        <color theme="1"/>
        <rFont val="等线"/>
        <family val="1"/>
        <scheme val="minor"/>
      </rPr>
      <t>      </t>
    </r>
    <phoneticPr fontId="1" type="noConversion"/>
  </si>
  <si>
    <t>河北省关于建立健全绿色低碳循环发展经济体系的实施意见</t>
  </si>
  <si>
    <t>山西省关于加快建立健全我省绿色低碳循环发展经济体系的实施意见</t>
  </si>
  <si>
    <t>辽宁省加快建立健全绿色低碳循环发展经济体系任务措施</t>
  </si>
  <si>
    <t>吉林省关于加快建立健全绿色低碳循环发展经济体系的实施意见</t>
  </si>
  <si>
    <t>黑龙江省建立健全绿色低碳循环发展经济体系实施方案</t>
  </si>
  <si>
    <t>江苏省政府关于加快建立健全绿色低碳循环发展经济体系的实施意见</t>
  </si>
  <si>
    <t>浙江省人民政府关于加快建立健全绿色低碳循环发展经济体系的实施意见</t>
  </si>
  <si>
    <t>福建省加快建立健全绿色低碳循环发展经济体系实施方案</t>
  </si>
  <si>
    <t>江西省关于加快建立健全绿色低碳循环发展经济体系的若干措施</t>
  </si>
  <si>
    <t>山东省“十四五”绿色低碳循环发展规划</t>
    <phoneticPr fontId="1" type="noConversion"/>
  </si>
  <si>
    <t>河南省人民政府关于加快建立健全绿色低碳循环发展经济体系的实施意见</t>
  </si>
  <si>
    <t>广东省人民政府关于加快建立健全绿色低碳循环发展经济体系的实施意见</t>
  </si>
  <si>
    <t>海南省关于加快建立健全绿色低碳循环发展经济体系的实施意见</t>
  </si>
  <si>
    <t>贵州省人民政府关于加快建立健全绿色低碳循环发展经济体系的实施意见</t>
  </si>
  <si>
    <t>云南省加快建立健全绿色低碳循环发展经济体系行动计划</t>
  </si>
  <si>
    <t>陕西省人民政府加快建立健全绿色低碳循环发展经济体系若干措施</t>
  </si>
  <si>
    <t>甘肃省人民政府关于加快建立健全绿色低碳循环发展经济体系实施方案的通知</t>
  </si>
  <si>
    <t>青海省人民政府关于加快建立健全绿色低碳循环发展经济体系的实施意见</t>
  </si>
  <si>
    <t>内蒙古自治区加快建立健全绿色低碳循环发展经济体系具体措施</t>
  </si>
  <si>
    <t>广西壮族自治区关于加快建立健全绿色低碳循环发展经济体系的实施意见</t>
  </si>
  <si>
    <t>宁夏回族自治区人民政府关于加快建立健全绿色低碳循环发展经济体系的实施意见</t>
  </si>
  <si>
    <t>湖北省人民政府关于加快建立健全绿色低碳循环发展经济体系的实施意见</t>
    <phoneticPr fontId="1" type="noConversion"/>
  </si>
  <si>
    <t>关于完善能源绿色低碳转型体制机制和政策措施的意见</t>
    <phoneticPr fontId="1" type="noConversion"/>
  </si>
  <si>
    <t>山西省关于完善能源绿色低碳转型体制机制和政策措施的实施意见</t>
  </si>
  <si>
    <t>浙江省完善能源绿色低碳转型体制机制和政策措施的实施意见</t>
  </si>
  <si>
    <t>福建省完善能源绿色低碳转型体制机制和政策措施的意见</t>
  </si>
  <si>
    <t>湖南省推动能源绿色低碳转型做好碳达峰工作的实施方案</t>
  </si>
  <si>
    <t>青海省关于完善能源绿色低碳转型体制机制和政策措施的意见</t>
  </si>
  <si>
    <t>完善广西能源绿色低碳转型体制机制和政策措施的实施方案</t>
  </si>
  <si>
    <t>建材行业碳达峰实施方案</t>
  </si>
  <si>
    <t>浙江省建材行业碳达峰行动方案</t>
  </si>
  <si>
    <t>福建省建材行业碳达峰实施方案</t>
    <phoneticPr fontId="1" type="noConversion"/>
  </si>
  <si>
    <t>江西省建材行业碳达峰实施方案</t>
    <phoneticPr fontId="1" type="noConversion"/>
  </si>
  <si>
    <t>山东省建材行业碳达峰工作方案</t>
    <phoneticPr fontId="1" type="noConversion"/>
  </si>
  <si>
    <t>河南省建材行业碳达峰行动方案</t>
  </si>
  <si>
    <t>湖南省建材行业碳达峰实施方案</t>
  </si>
  <si>
    <t>四川省建材行业碳达峰实施方案</t>
  </si>
  <si>
    <t>贵州省建材行业碳达峰实施方案</t>
  </si>
  <si>
    <t>云南省建材行业碳达峰实施方案</t>
    <phoneticPr fontId="1" type="noConversion"/>
  </si>
  <si>
    <t>陕西省建材行业碳达峰实施方案</t>
    <phoneticPr fontId="1" type="noConversion"/>
  </si>
  <si>
    <t>新疆维吾尔自治区建材行业碳达峰实施方案</t>
    <phoneticPr fontId="1" type="noConversion"/>
  </si>
  <si>
    <t>有色金属行业碳达峰实施方案</t>
  </si>
  <si>
    <t>陕西省有色金属行业碳达峰实施方案</t>
    <phoneticPr fontId="1" type="noConversion"/>
  </si>
  <si>
    <t>福建省有色金属行业碳达峰实施方案</t>
  </si>
  <si>
    <t>贵州省有色金属行业碳达峰实施方案</t>
    <phoneticPr fontId="1" type="noConversion"/>
  </si>
  <si>
    <t>湖南省有色金属行业碳达峰实施方案</t>
    <phoneticPr fontId="1" type="noConversion"/>
  </si>
  <si>
    <t>江西省有色金属行业碳达峰实施方案</t>
    <phoneticPr fontId="1" type="noConversion"/>
  </si>
  <si>
    <t>四川省有色金属行业碳达峰实施方案</t>
    <phoneticPr fontId="1" type="noConversion"/>
  </si>
  <si>
    <t>云南省有色金属行业碳达峰实施方案</t>
    <phoneticPr fontId="1" type="noConversion"/>
  </si>
  <si>
    <t>建立健全碳达峰碳中和标准计量体系实施方案</t>
  </si>
  <si>
    <t>天津市建立健全碳达峰碳中和标准计量体系实施方案</t>
  </si>
  <si>
    <t>河北省贯彻落实碳达峰碳中和标准计量体系行动方案</t>
  </si>
  <si>
    <t>湖南省建立健全碳达峰碳中和标准计量体系实施方案</t>
    <phoneticPr fontId="1" type="noConversion"/>
  </si>
  <si>
    <t>江西省建立健全碳达峰碳中和标准计量体系实施方案</t>
  </si>
  <si>
    <t>内蒙古自治区建立健全碳达峰碳中和标准计量体系实施方案</t>
    <phoneticPr fontId="1" type="noConversion"/>
  </si>
  <si>
    <t>山东省建立健全碳达峰碳中和标准计量体系工作方案</t>
    <phoneticPr fontId="1" type="noConversion"/>
  </si>
  <si>
    <t>上海市碳达峰碳中和标准计量体系建设实施方案</t>
    <phoneticPr fontId="1" type="noConversion"/>
  </si>
  <si>
    <t>新疆维吾尔族治区建立健全碳达峰碳中和标准计量体系实施方案</t>
    <phoneticPr fontId="1" type="noConversion"/>
  </si>
  <si>
    <t>财政支持做好碳达峰碳中和工作的意见</t>
  </si>
  <si>
    <t>福建财政支持做好碳达峰碳中和工作的实施意见</t>
    <phoneticPr fontId="1" type="noConversion"/>
  </si>
  <si>
    <t>江苏省财政支持做好碳达峰碳中和工作实施方案</t>
  </si>
  <si>
    <t>海南省财政支持做好碳达峰碳中和工作的实施意见</t>
  </si>
  <si>
    <t>湖南省财政支持做好碳达峰碳中和工作的实施意见</t>
    <phoneticPr fontId="1" type="noConversion"/>
  </si>
  <si>
    <t>宁夏回族自治区财政厅关于财政支持做好碳达峰碳中和工作实施方案</t>
  </si>
  <si>
    <t>陕西财政支持做好碳达峰碳中和工作的实施意见</t>
  </si>
  <si>
    <t>上海市财政支持做好碳达峰碳中和工作的实施意见</t>
  </si>
  <si>
    <t>四川省财政支持做好碳达峰碳中和工作实施意见</t>
    <phoneticPr fontId="1" type="noConversion"/>
  </si>
  <si>
    <t>天津市财政支持做好碳达峰碳中和工作的实施意见</t>
    <phoneticPr fontId="1" type="noConversion"/>
  </si>
  <si>
    <t>浙江省财政厅关于支持碳达峰碳中和工作的实施意见</t>
    <phoneticPr fontId="1" type="noConversion"/>
  </si>
  <si>
    <t>北京市财政支持做好碳达峰碳中和工作的实施意见</t>
    <phoneticPr fontId="1" type="noConversion"/>
  </si>
  <si>
    <t> 2024/12/25</t>
    <phoneticPr fontId="1" type="noConversion"/>
  </si>
  <si>
    <t>河北省财政支持碳达峰碳中和政策措施</t>
    <phoneticPr fontId="1" type="noConversion"/>
  </si>
  <si>
    <t>辽宁省关于财政支持生态文明建设推动绿色低碳发展的实施意见</t>
    <phoneticPr fontId="1" type="noConversion"/>
  </si>
  <si>
    <t>吉林省财政厅关于支持绿色低碳发展推动碳达峰碳中和的实施意见</t>
    <phoneticPr fontId="1" type="noConversion"/>
  </si>
  <si>
    <t>安徽省关于财政支持做好碳达峰碳中和工作的实施方案</t>
    <phoneticPr fontId="1" type="noConversion"/>
  </si>
  <si>
    <t>山东省财政支持做好碳达峰碳中和工作的意见</t>
    <phoneticPr fontId="1" type="noConversion"/>
  </si>
  <si>
    <t>河南省财政支持做好碳达峰碳中和工作的实施意见</t>
    <phoneticPr fontId="1" type="noConversion"/>
  </si>
  <si>
    <t>甘肃省财政支持做好碳达峰碳中和工作的实施意见</t>
    <phoneticPr fontId="1" type="noConversion"/>
  </si>
  <si>
    <t>a</t>
    <phoneticPr fontId="1" type="noConversion"/>
  </si>
  <si>
    <t>b</t>
    <phoneticPr fontId="1" type="noConversion"/>
  </si>
  <si>
    <t>c</t>
    <phoneticPr fontId="1" type="noConversion"/>
  </si>
  <si>
    <t>d</t>
    <phoneticPr fontId="1" type="noConversion"/>
  </si>
  <si>
    <t>e</t>
    <phoneticPr fontId="1" type="noConversion"/>
  </si>
  <si>
    <t>f</t>
    <phoneticPr fontId="1" type="noConversion"/>
  </si>
  <si>
    <t>g</t>
    <phoneticPr fontId="1" type="noConversion"/>
  </si>
  <si>
    <t>h</t>
    <phoneticPr fontId="1" type="noConversion"/>
  </si>
  <si>
    <t>i</t>
    <phoneticPr fontId="1" type="noConversion"/>
  </si>
  <si>
    <t>j</t>
    <phoneticPr fontId="1" type="noConversion"/>
  </si>
  <si>
    <t>k</t>
    <phoneticPr fontId="1" type="noConversion"/>
  </si>
  <si>
    <t>l</t>
    <phoneticPr fontId="1" type="noConversion"/>
  </si>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</sst>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sz val="12"/>
      <color theme="1"/>
      <name val="Aptos"/>
      <family val="2"/>
    </font>
    <font>
      <b/>
      <sz val="10"/>
      <color theme="1"/>
      <name val="Aptos"/>
      <family val="2"/>
    </font>
    <font>
      <sz val="10"/>
      <color theme="1"/>
      <name val="Aptos"/>
      <family val="2"/>
    </font>
    <font>
      <u/>
      <sz val="11"/>
      <color theme="10"/>
      <name val="等线"/>
      <family val="2"/>
      <charset val="134"/>
      <scheme val="minor"/>
    </font>
    <font>
      <u/>
      <sz val="11"/>
      <color theme="10"/>
      <name val="等线"/>
      <family val="3"/>
      <charset val="134"/>
      <scheme val="minor"/>
    </font>
    <font>
      <sz val="11"/>
      <color rgb="FFFF0000"/>
      <name val="等线"/>
      <family val="2"/>
      <charset val="134"/>
      <scheme val="minor"/>
    </font>
    <font>
      <sz val="10.5"/>
      <color theme="1"/>
      <name val="宋体"/>
      <family val="3"/>
      <charset val="134"/>
    </font>
    <font>
      <sz val="11"/>
      <color theme="1"/>
      <name val="等线"/>
      <family val="1"/>
      <scheme val="minor"/>
    </font>
    <font>
      <sz val="10"/>
      <color rgb="FF0F1115"/>
      <name val="等线"/>
      <family val="3"/>
      <charset val="134"/>
      <scheme val="minor"/>
    </font>
    <font>
      <sz val="10"/>
      <name val="Arial"/>
      <family val="2"/>
    </font>
    <font>
      <b/>
      <sz val="12"/>
      <color theme="1"/>
      <name val="等线"/>
      <family val="3"/>
      <charset val="134"/>
      <scheme val="minor"/>
    </font>
    <font>
      <b/>
      <sz val="14"/>
      <color theme="1"/>
      <name val="等线"/>
      <family val="3"/>
      <charset val="134"/>
      <scheme val="minor"/>
    </font>
  </fonts>
  <fills count="5">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12" fillId="0" borderId="0"/>
  </cellStyleXfs>
  <cellXfs count="42">
    <xf numFmtId="0" fontId="0" fillId="0" borderId="0" xfId="0">
      <alignment vertical="center"/>
    </xf>
    <xf numFmtId="0" fontId="0" fillId="0" borderId="0" xfId="0" applyAlignment="1">
      <alignment horizontal="center" vertical="center"/>
    </xf>
    <xf numFmtId="0" fontId="0" fillId="2" borderId="0" xfId="0" applyFill="1">
      <alignment vertical="center"/>
    </xf>
    <xf numFmtId="0" fontId="0" fillId="3" borderId="0" xfId="0" applyFill="1">
      <alignment vertical="center"/>
    </xf>
    <xf numFmtId="0" fontId="2" fillId="0" borderId="0" xfId="0" applyFont="1" applyAlignment="1">
      <alignment horizontal="center" vertical="center"/>
    </xf>
    <xf numFmtId="0" fontId="0" fillId="4" borderId="0" xfId="0" applyFill="1">
      <alignment vertical="center"/>
    </xf>
    <xf numFmtId="14" fontId="0" fillId="0" borderId="0" xfId="0" applyNumberFormat="1" applyAlignment="1">
      <alignment horizontal="left" vertical="center"/>
    </xf>
    <xf numFmtId="0" fontId="0" fillId="0" borderId="0" xfId="0" applyAlignment="1">
      <alignment horizontal="left" vertical="center"/>
    </xf>
    <xf numFmtId="14" fontId="2" fillId="0" borderId="0" xfId="0" applyNumberFormat="1" applyFont="1" applyAlignment="1">
      <alignment horizontal="left" vertical="center"/>
    </xf>
    <xf numFmtId="0" fontId="2" fillId="0" borderId="0" xfId="0" applyFont="1" applyAlignment="1">
      <alignment horizontal="left" vertical="center"/>
    </xf>
    <xf numFmtId="14" fontId="0" fillId="0" borderId="0" xfId="0" applyNumberFormat="1">
      <alignment vertical="center"/>
    </xf>
    <xf numFmtId="0" fontId="5" fillId="0" borderId="4" xfId="0" applyFont="1" applyBorder="1" applyAlignment="1">
      <alignment vertical="center" wrapText="1"/>
    </xf>
    <xf numFmtId="0" fontId="5" fillId="0" borderId="5" xfId="0" applyFont="1" applyBorder="1" applyAlignment="1">
      <alignment vertical="center" wrapText="1"/>
    </xf>
    <xf numFmtId="0" fontId="6" fillId="0" borderId="5" xfId="1" applyBorder="1" applyAlignment="1">
      <alignment vertical="center" wrapText="1"/>
    </xf>
    <xf numFmtId="0" fontId="6" fillId="0" borderId="7" xfId="1" applyBorder="1" applyAlignment="1">
      <alignment vertical="center" wrapText="1"/>
    </xf>
    <xf numFmtId="0" fontId="5" fillId="0" borderId="7" xfId="0" applyFont="1" applyBorder="1" applyAlignment="1">
      <alignment vertical="center" wrapText="1"/>
    </xf>
    <xf numFmtId="0" fontId="0" fillId="0" borderId="7" xfId="0" applyBorder="1" applyAlignment="1">
      <alignment vertical="center" wrapText="1"/>
    </xf>
    <xf numFmtId="0" fontId="3" fillId="0" borderId="4" xfId="0" applyFont="1" applyBorder="1" applyAlignment="1">
      <alignment vertical="top" wrapText="1"/>
    </xf>
    <xf numFmtId="0" fontId="3" fillId="0" borderId="5" xfId="0" applyFont="1" applyBorder="1" applyAlignment="1">
      <alignment vertical="top" wrapText="1"/>
    </xf>
    <xf numFmtId="14" fontId="0" fillId="0" borderId="0" xfId="0" applyNumberFormat="1" applyAlignment="1">
      <alignment horizontal="center"/>
    </xf>
    <xf numFmtId="0" fontId="9" fillId="0" borderId="0" xfId="0" applyFont="1" applyAlignment="1">
      <alignment horizontal="justify" vertical="center"/>
    </xf>
    <xf numFmtId="14" fontId="2" fillId="0" borderId="0" xfId="0" applyNumberFormat="1" applyFont="1" applyAlignment="1">
      <alignment horizontal="center" vertical="center"/>
    </xf>
    <xf numFmtId="14" fontId="0" fillId="0" borderId="0" xfId="0" applyNumberFormat="1" applyAlignment="1">
      <alignment horizontal="center" vertical="center"/>
    </xf>
    <xf numFmtId="0" fontId="8" fillId="2" borderId="0" xfId="0" applyFont="1" applyFill="1">
      <alignment vertical="center"/>
    </xf>
    <xf numFmtId="0" fontId="11" fillId="0" borderId="0" xfId="0" applyFont="1">
      <alignment vertical="center"/>
    </xf>
    <xf numFmtId="0" fontId="12" fillId="0" borderId="0" xfId="2" applyAlignment="1">
      <alignment vertical="center"/>
    </xf>
    <xf numFmtId="0" fontId="13" fillId="0" borderId="0" xfId="0" applyFont="1" applyAlignment="1">
      <alignment horizontal="center" vertical="center"/>
    </xf>
    <xf numFmtId="0" fontId="14" fillId="0" borderId="0" xfId="0" applyFont="1" applyAlignment="1">
      <alignment horizontal="center" vertical="center"/>
    </xf>
    <xf numFmtId="176" fontId="0" fillId="0" borderId="0" xfId="0" applyNumberFormat="1" applyAlignment="1">
      <alignment horizontal="left" vertical="center"/>
    </xf>
    <xf numFmtId="0" fontId="0" fillId="0" borderId="0" xfId="0" applyAlignment="1">
      <alignment horizontal="center" vertical="center"/>
    </xf>
    <xf numFmtId="0" fontId="5" fillId="0" borderId="1" xfId="0" applyFont="1" applyBorder="1">
      <alignment vertical="center"/>
    </xf>
    <xf numFmtId="0" fontId="5" fillId="0" borderId="2" xfId="0" applyFont="1" applyBorder="1">
      <alignment vertical="center"/>
    </xf>
    <xf numFmtId="0" fontId="5" fillId="0" borderId="3" xfId="0" applyFont="1" applyBorder="1">
      <alignment vertical="center"/>
    </xf>
    <xf numFmtId="0" fontId="5" fillId="0" borderId="8" xfId="0" applyFont="1" applyBorder="1" applyAlignment="1">
      <alignment vertical="center" wrapText="1"/>
    </xf>
    <xf numFmtId="0" fontId="5" fillId="0" borderId="6" xfId="0" applyFont="1" applyBorder="1" applyAlignment="1">
      <alignment vertical="center" wrapText="1"/>
    </xf>
    <xf numFmtId="0" fontId="5" fillId="0" borderId="4" xfId="0" applyFont="1" applyBorder="1" applyAlignment="1">
      <alignment vertical="center" wrapText="1"/>
    </xf>
    <xf numFmtId="0" fontId="6" fillId="0" borderId="8" xfId="1" applyBorder="1" applyAlignment="1">
      <alignment vertical="center" wrapText="1"/>
    </xf>
    <xf numFmtId="0" fontId="6" fillId="0" borderId="4" xfId="1" applyBorder="1" applyAlignment="1">
      <alignment vertical="center" wrapText="1"/>
    </xf>
    <xf numFmtId="0" fontId="6" fillId="0" borderId="6" xfId="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cellXfs>
  <cellStyles count="3">
    <cellStyle name="常规" xfId="0" builtinId="0"/>
    <cellStyle name="常规 2" xfId="2" xr:uid="{6DD0EC31-88D8-4BA5-83C3-8F3267D0D9BF}"/>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r>
              <a:rPr lang="en-US" altLang="zh-CN" sz="1800" b="1"/>
              <a:t>summary</a:t>
            </a:r>
          </a:p>
        </c:rich>
      </c:tx>
      <c:overlay val="0"/>
      <c:spPr>
        <a:noFill/>
        <a:ln>
          <a:noFill/>
        </a:ln>
        <a:effectLst/>
      </c:spPr>
    </c:title>
    <c:autoTitleDeleted val="0"/>
    <c:plotArea>
      <c:layout>
        <c:manualLayout>
          <c:layoutTarget val="inner"/>
          <c:xMode val="edge"/>
          <c:yMode val="edge"/>
          <c:x val="7.9716631338877783E-2"/>
          <c:y val="0.25454745704850357"/>
          <c:w val="0.80503766508661712"/>
          <c:h val="0.4165516291160114"/>
        </c:manualLayout>
      </c:layout>
      <c:lineChart>
        <c:grouping val="standard"/>
        <c:varyColors val="0"/>
        <c:ser>
          <c:idx val="0"/>
          <c:order val="0"/>
          <c:tx>
            <c:strRef>
              <c:f>总表!$U$1</c:f>
              <c:strCache>
                <c:ptCount val="1"/>
                <c:pt idx="0">
                  <c:v>l</c:v>
                </c:pt>
              </c:strCache>
            </c:strRef>
          </c:tx>
          <c:marker>
            <c:symbol val="none"/>
          </c:marker>
          <c:cat>
            <c:numRef>
              <c:f>总表!$I$2:$I$44</c:f>
              <c:numCache>
                <c:formatCode>m/d/yyyy</c:formatCode>
                <c:ptCount val="43"/>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pt idx="28">
                  <c:v>45078</c:v>
                </c:pt>
                <c:pt idx="29">
                  <c:v>45108</c:v>
                </c:pt>
                <c:pt idx="30">
                  <c:v>45139</c:v>
                </c:pt>
                <c:pt idx="31">
                  <c:v>45170</c:v>
                </c:pt>
                <c:pt idx="32">
                  <c:v>45200</c:v>
                </c:pt>
                <c:pt idx="33">
                  <c:v>45231</c:v>
                </c:pt>
                <c:pt idx="34">
                  <c:v>45261</c:v>
                </c:pt>
                <c:pt idx="35">
                  <c:v>45292</c:v>
                </c:pt>
                <c:pt idx="36">
                  <c:v>45323</c:v>
                </c:pt>
                <c:pt idx="37">
                  <c:v>45352</c:v>
                </c:pt>
                <c:pt idx="38">
                  <c:v>45383</c:v>
                </c:pt>
                <c:pt idx="39">
                  <c:v>45413</c:v>
                </c:pt>
                <c:pt idx="40">
                  <c:v>45444</c:v>
                </c:pt>
                <c:pt idx="41">
                  <c:v>45474</c:v>
                </c:pt>
                <c:pt idx="42">
                  <c:v>45505</c:v>
                </c:pt>
              </c:numCache>
            </c:numRef>
          </c:cat>
          <c:val>
            <c:numRef>
              <c:f>总表!$V$2:$V$44</c:f>
              <c:numCache>
                <c:formatCode>General</c:formatCode>
                <c:ptCount val="43"/>
                <c:pt idx="0">
                  <c:v>1</c:v>
                </c:pt>
                <c:pt idx="1">
                  <c:v>0</c:v>
                </c:pt>
                <c:pt idx="2">
                  <c:v>1</c:v>
                </c:pt>
                <c:pt idx="3">
                  <c:v>0</c:v>
                </c:pt>
                <c:pt idx="4">
                  <c:v>0</c:v>
                </c:pt>
                <c:pt idx="5">
                  <c:v>1</c:v>
                </c:pt>
                <c:pt idx="6">
                  <c:v>2</c:v>
                </c:pt>
                <c:pt idx="7">
                  <c:v>7</c:v>
                </c:pt>
                <c:pt idx="8">
                  <c:v>2</c:v>
                </c:pt>
                <c:pt idx="9">
                  <c:v>3</c:v>
                </c:pt>
                <c:pt idx="10">
                  <c:v>5</c:v>
                </c:pt>
                <c:pt idx="11">
                  <c:v>7</c:v>
                </c:pt>
                <c:pt idx="12">
                  <c:v>1</c:v>
                </c:pt>
                <c:pt idx="13">
                  <c:v>6</c:v>
                </c:pt>
                <c:pt idx="14">
                  <c:v>4</c:v>
                </c:pt>
                <c:pt idx="15">
                  <c:v>3</c:v>
                </c:pt>
                <c:pt idx="16">
                  <c:v>8</c:v>
                </c:pt>
                <c:pt idx="17">
                  <c:v>12</c:v>
                </c:pt>
                <c:pt idx="18">
                  <c:v>5</c:v>
                </c:pt>
                <c:pt idx="19">
                  <c:v>6</c:v>
                </c:pt>
                <c:pt idx="20">
                  <c:v>14</c:v>
                </c:pt>
                <c:pt idx="21">
                  <c:v>11</c:v>
                </c:pt>
                <c:pt idx="22">
                  <c:v>21</c:v>
                </c:pt>
                <c:pt idx="23">
                  <c:v>13</c:v>
                </c:pt>
                <c:pt idx="24">
                  <c:v>15</c:v>
                </c:pt>
                <c:pt idx="25">
                  <c:v>6</c:v>
                </c:pt>
                <c:pt idx="26">
                  <c:v>7</c:v>
                </c:pt>
                <c:pt idx="27">
                  <c:v>7</c:v>
                </c:pt>
                <c:pt idx="28">
                  <c:v>6</c:v>
                </c:pt>
                <c:pt idx="29">
                  <c:v>8</c:v>
                </c:pt>
                <c:pt idx="30">
                  <c:v>11</c:v>
                </c:pt>
                <c:pt idx="31">
                  <c:v>2</c:v>
                </c:pt>
                <c:pt idx="32">
                  <c:v>3</c:v>
                </c:pt>
                <c:pt idx="33">
                  <c:v>1</c:v>
                </c:pt>
                <c:pt idx="34">
                  <c:v>2</c:v>
                </c:pt>
                <c:pt idx="35">
                  <c:v>5</c:v>
                </c:pt>
                <c:pt idx="36">
                  <c:v>1</c:v>
                </c:pt>
                <c:pt idx="37">
                  <c:v>2</c:v>
                </c:pt>
                <c:pt idx="38">
                  <c:v>1</c:v>
                </c:pt>
                <c:pt idx="39">
                  <c:v>1</c:v>
                </c:pt>
                <c:pt idx="40">
                  <c:v>0</c:v>
                </c:pt>
                <c:pt idx="41">
                  <c:v>0</c:v>
                </c:pt>
                <c:pt idx="42">
                  <c:v>0</c:v>
                </c:pt>
              </c:numCache>
            </c:numRef>
          </c:val>
          <c:smooth val="1"/>
          <c:extLst>
            <c:ext xmlns:c16="http://schemas.microsoft.com/office/drawing/2014/chart" uri="{C3380CC4-5D6E-409C-BE32-E72D297353CC}">
              <c16:uniqueId val="{00000000-003D-4288-A511-EF2CC42E1B05}"/>
            </c:ext>
          </c:extLst>
        </c:ser>
        <c:dLbls>
          <c:showLegendKey val="0"/>
          <c:showVal val="0"/>
          <c:showCatName val="0"/>
          <c:showSerName val="0"/>
          <c:showPercent val="0"/>
          <c:showBubbleSize val="0"/>
        </c:dLbls>
        <c:smooth val="0"/>
        <c:axId val="1123622576"/>
        <c:axId val="1123630736"/>
      </c:lineChart>
      <c:dateAx>
        <c:axId val="11236225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vert="eaVert"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zh-CN"/>
          </a:p>
        </c:txPr>
        <c:crossAx val="1123630736"/>
        <c:crosses val="autoZero"/>
        <c:auto val="1"/>
        <c:lblOffset val="100"/>
        <c:baseTimeUnit val="months"/>
        <c:majorUnit val="2"/>
        <c:majorTimeUnit val="months"/>
        <c:minorUnit val="2"/>
        <c:minorTimeUnit val="months"/>
      </c:dateAx>
      <c:valAx>
        <c:axId val="1123630736"/>
        <c:scaling>
          <c:orientation val="minMax"/>
          <c:min val="0"/>
        </c:scaling>
        <c:delete val="0"/>
        <c:axPos val="l"/>
        <c:majorGridlines/>
        <c:numFmt formatCode="General" sourceLinked="1"/>
        <c:majorTickMark val="out"/>
        <c:minorTickMark val="none"/>
        <c:tickLblPos val="nextTo"/>
        <c:spPr>
          <a:ln>
            <a:noFill/>
          </a:ln>
        </c:spPr>
        <c:txPr>
          <a:bodyPr/>
          <a:lstStyle/>
          <a:p>
            <a:pPr>
              <a:defRPr sz="1400" b="1"/>
            </a:pPr>
            <a:endParaRPr lang="zh-CN"/>
          </a:p>
        </c:txPr>
        <c:crossAx val="1123622576"/>
        <c:crosses val="autoZero"/>
        <c:crossBetween val="between"/>
        <c:majorUnit val="3"/>
      </c:valAx>
      <c:spPr>
        <a:noFill/>
        <a:ln w="25400">
          <a:noFill/>
        </a:ln>
        <a:effectLst/>
      </c:spPr>
    </c:plotArea>
    <c:plotVisOnly val="1"/>
    <c:dispBlanksAs val="gap"/>
    <c:showDLblsOverMax val="0"/>
    <c:extLst/>
  </c:chart>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t>
            </a:r>
            <a:r>
              <a:rPr lang="zh-CN"/>
              <a:t>碳达峰实施方案</a:t>
            </a:r>
            <a:r>
              <a:rPr lang="en-US"/>
              <a:t>》</a:t>
            </a:r>
            <a:r>
              <a:rPr lang="zh-CN"/>
              <a:t>发布时间</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zh-CN"/>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cat>
            <c:numRef>
              <c:f>Sheet3!$D$2:$D$20</c:f>
              <c:numCache>
                <c:formatCode>m/d/yyyy</c:formatCode>
                <c:ptCount val="19"/>
                <c:pt idx="0">
                  <c:v>44440</c:v>
                </c:pt>
                <c:pt idx="1">
                  <c:v>44470</c:v>
                </c:pt>
                <c:pt idx="2">
                  <c:v>44501</c:v>
                </c:pt>
                <c:pt idx="3">
                  <c:v>44531</c:v>
                </c:pt>
                <c:pt idx="4">
                  <c:v>44562</c:v>
                </c:pt>
                <c:pt idx="5">
                  <c:v>44593</c:v>
                </c:pt>
                <c:pt idx="6">
                  <c:v>44621</c:v>
                </c:pt>
                <c:pt idx="7">
                  <c:v>44652</c:v>
                </c:pt>
                <c:pt idx="8">
                  <c:v>44682</c:v>
                </c:pt>
                <c:pt idx="9">
                  <c:v>44713</c:v>
                </c:pt>
                <c:pt idx="10">
                  <c:v>44743</c:v>
                </c:pt>
                <c:pt idx="11">
                  <c:v>44774</c:v>
                </c:pt>
                <c:pt idx="12">
                  <c:v>44805</c:v>
                </c:pt>
                <c:pt idx="13">
                  <c:v>44835</c:v>
                </c:pt>
                <c:pt idx="14">
                  <c:v>44866</c:v>
                </c:pt>
                <c:pt idx="15">
                  <c:v>44896</c:v>
                </c:pt>
                <c:pt idx="16">
                  <c:v>44927</c:v>
                </c:pt>
                <c:pt idx="17">
                  <c:v>44958</c:v>
                </c:pt>
                <c:pt idx="18">
                  <c:v>44986</c:v>
                </c:pt>
              </c:numCache>
            </c:numRef>
          </c:cat>
          <c:val>
            <c:numRef>
              <c:f>Sheet3!$E$2:$E$20</c:f>
              <c:numCache>
                <c:formatCode>General</c:formatCode>
                <c:ptCount val="19"/>
                <c:pt idx="0">
                  <c:v>0</c:v>
                </c:pt>
                <c:pt idx="2">
                  <c:v>0</c:v>
                </c:pt>
                <c:pt idx="3">
                  <c:v>0</c:v>
                </c:pt>
                <c:pt idx="4">
                  <c:v>0</c:v>
                </c:pt>
                <c:pt idx="5">
                  <c:v>0</c:v>
                </c:pt>
                <c:pt idx="6">
                  <c:v>0</c:v>
                </c:pt>
                <c:pt idx="7">
                  <c:v>0</c:v>
                </c:pt>
                <c:pt idx="8">
                  <c:v>0</c:v>
                </c:pt>
                <c:pt idx="9">
                  <c:v>3</c:v>
                </c:pt>
                <c:pt idx="10">
                  <c:v>4</c:v>
                </c:pt>
                <c:pt idx="11">
                  <c:v>3</c:v>
                </c:pt>
                <c:pt idx="12">
                  <c:v>3</c:v>
                </c:pt>
                <c:pt idx="13">
                  <c:v>3</c:v>
                </c:pt>
                <c:pt idx="14">
                  <c:v>2</c:v>
                </c:pt>
                <c:pt idx="15">
                  <c:v>4</c:v>
                </c:pt>
                <c:pt idx="16">
                  <c:v>1</c:v>
                </c:pt>
                <c:pt idx="17">
                  <c:v>1</c:v>
                </c:pt>
                <c:pt idx="18">
                  <c:v>0</c:v>
                </c:pt>
              </c:numCache>
            </c:numRef>
          </c:val>
          <c:smooth val="0"/>
          <c:extLst>
            <c:ext xmlns:c16="http://schemas.microsoft.com/office/drawing/2014/chart" uri="{C3380CC4-5D6E-409C-BE32-E72D297353CC}">
              <c16:uniqueId val="{00000000-BAFA-420E-B352-34E86BDF2FF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2026863104"/>
        <c:axId val="426268400"/>
      </c:lineChart>
      <c:dateAx>
        <c:axId val="2026863104"/>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zh-CN"/>
          </a:p>
        </c:txPr>
        <c:crossAx val="426268400"/>
        <c:crosses val="autoZero"/>
        <c:auto val="1"/>
        <c:lblOffset val="100"/>
        <c:baseTimeUnit val="months"/>
      </c:dateAx>
      <c:valAx>
        <c:axId val="426268400"/>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zh-CN"/>
          </a:p>
        </c:txPr>
        <c:crossAx val="2026863104"/>
        <c:crosses val="autoZero"/>
        <c:crossBetween val="between"/>
        <c:majorUnit val="1"/>
        <c:minorUnit val="1"/>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Sheet3!$P$3:$P$134</c:f>
              <c:numCache>
                <c:formatCode>General</c:formatCode>
                <c:ptCount val="13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4</c:v>
                </c:pt>
                <c:pt idx="72">
                  <c:v>4</c:v>
                </c:pt>
                <c:pt idx="73">
                  <c:v>4</c:v>
                </c:pt>
                <c:pt idx="74">
                  <c:v>4</c:v>
                </c:pt>
                <c:pt idx="75">
                  <c:v>4</c:v>
                </c:pt>
                <c:pt idx="76">
                  <c:v>4</c:v>
                </c:pt>
                <c:pt idx="77">
                  <c:v>4</c:v>
                </c:pt>
                <c:pt idx="78">
                  <c:v>4</c:v>
                </c:pt>
                <c:pt idx="79">
                  <c:v>4</c:v>
                </c:pt>
                <c:pt idx="80">
                  <c:v>4</c:v>
                </c:pt>
                <c:pt idx="81">
                  <c:v>4</c:v>
                </c:pt>
                <c:pt idx="82">
                  <c:v>4</c:v>
                </c:pt>
                <c:pt idx="83">
                  <c:v>4</c:v>
                </c:pt>
                <c:pt idx="84">
                  <c:v>4</c:v>
                </c:pt>
                <c:pt idx="85">
                  <c:v>4</c:v>
                </c:pt>
                <c:pt idx="86">
                  <c:v>4</c:v>
                </c:pt>
                <c:pt idx="87">
                  <c:v>4</c:v>
                </c:pt>
                <c:pt idx="88">
                  <c:v>4</c:v>
                </c:pt>
                <c:pt idx="89">
                  <c:v>4</c:v>
                </c:pt>
                <c:pt idx="90">
                  <c:v>4</c:v>
                </c:pt>
                <c:pt idx="91">
                  <c:v>4</c:v>
                </c:pt>
                <c:pt idx="92">
                  <c:v>4</c:v>
                </c:pt>
                <c:pt idx="93">
                  <c:v>4</c:v>
                </c:pt>
                <c:pt idx="94">
                  <c:v>4</c:v>
                </c:pt>
                <c:pt idx="95">
                  <c:v>4</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6</c:v>
                </c:pt>
                <c:pt idx="123">
                  <c:v>6</c:v>
                </c:pt>
                <c:pt idx="124">
                  <c:v>6</c:v>
                </c:pt>
                <c:pt idx="125">
                  <c:v>6</c:v>
                </c:pt>
                <c:pt idx="126">
                  <c:v>6</c:v>
                </c:pt>
                <c:pt idx="127">
                  <c:v>6</c:v>
                </c:pt>
                <c:pt idx="128">
                  <c:v>6</c:v>
                </c:pt>
                <c:pt idx="129">
                  <c:v>6</c:v>
                </c:pt>
                <c:pt idx="130">
                  <c:v>6</c:v>
                </c:pt>
                <c:pt idx="131">
                  <c:v>6</c:v>
                </c:pt>
              </c:numCache>
            </c:numRef>
          </c:xVal>
          <c:yVal>
            <c:numRef>
              <c:f>Sheet3!$Q$3:$Q$134</c:f>
              <c:numCache>
                <c:formatCode>m/d/yyyy</c:formatCode>
                <c:ptCount val="132"/>
                <c:pt idx="0">
                  <c:v>44493</c:v>
                </c:pt>
                <c:pt idx="1">
                  <c:v>44845</c:v>
                </c:pt>
                <c:pt idx="2">
                  <c:v>44798</c:v>
                </c:pt>
                <c:pt idx="3">
                  <c:v>44750</c:v>
                </c:pt>
                <c:pt idx="4">
                  <c:v>44731</c:v>
                </c:pt>
                <c:pt idx="5">
                  <c:v>44931</c:v>
                </c:pt>
                <c:pt idx="6">
                  <c:v>44816</c:v>
                </c:pt>
                <c:pt idx="7">
                  <c:v>44764</c:v>
                </c:pt>
                <c:pt idx="8">
                  <c:v>44836</c:v>
                </c:pt>
                <c:pt idx="9">
                  <c:v>44827</c:v>
                </c:pt>
                <c:pt idx="10">
                  <c:v>44750</c:v>
                </c:pt>
                <c:pt idx="11">
                  <c:v>44913</c:v>
                </c:pt>
                <c:pt idx="12">
                  <c:v>44963</c:v>
                </c:pt>
                <c:pt idx="13">
                  <c:v>44862</c:v>
                </c:pt>
                <c:pt idx="14">
                  <c:v>44735</c:v>
                </c:pt>
                <c:pt idx="15">
                  <c:v>44782</c:v>
                </c:pt>
                <c:pt idx="16">
                  <c:v>44926</c:v>
                </c:pt>
                <c:pt idx="17">
                  <c:v>44869</c:v>
                </c:pt>
                <c:pt idx="18">
                  <c:v>44784</c:v>
                </c:pt>
                <c:pt idx="19">
                  <c:v>44764</c:v>
                </c:pt>
                <c:pt idx="20">
                  <c:v>44721</c:v>
                </c:pt>
                <c:pt idx="21">
                  <c:v>44913</c:v>
                </c:pt>
                <c:pt idx="22">
                  <c:v>44883</c:v>
                </c:pt>
                <c:pt idx="23">
                  <c:v>44924</c:v>
                </c:pt>
                <c:pt idx="24">
                  <c:v>44834</c:v>
                </c:pt>
                <c:pt idx="25">
                  <c:v>44461</c:v>
                </c:pt>
                <c:pt idx="26">
                  <c:v>44748</c:v>
                </c:pt>
                <c:pt idx="27">
                  <c:v>44771</c:v>
                </c:pt>
                <c:pt idx="28">
                  <c:v>44566</c:v>
                </c:pt>
                <c:pt idx="29">
                  <c:v>44944</c:v>
                </c:pt>
                <c:pt idx="30">
                  <c:v>44530</c:v>
                </c:pt>
                <c:pt idx="31">
                  <c:v>44576</c:v>
                </c:pt>
                <c:pt idx="32">
                  <c:v>44609</c:v>
                </c:pt>
                <c:pt idx="33">
                  <c:v>44668</c:v>
                </c:pt>
                <c:pt idx="34">
                  <c:v>44794</c:v>
                </c:pt>
                <c:pt idx="35">
                  <c:v>44657</c:v>
                </c:pt>
                <c:pt idx="36">
                  <c:v>44918</c:v>
                </c:pt>
                <c:pt idx="37">
                  <c:v>44633</c:v>
                </c:pt>
                <c:pt idx="38">
                  <c:v>44768</c:v>
                </c:pt>
                <c:pt idx="39">
                  <c:v>44634</c:v>
                </c:pt>
                <c:pt idx="40">
                  <c:v>44902</c:v>
                </c:pt>
                <c:pt idx="41">
                  <c:v>44786</c:v>
                </c:pt>
                <c:pt idx="42">
                  <c:v>44633</c:v>
                </c:pt>
                <c:pt idx="43">
                  <c:v>44743</c:v>
                </c:pt>
                <c:pt idx="44">
                  <c:v>44679</c:v>
                </c:pt>
                <c:pt idx="45">
                  <c:v>44569</c:v>
                </c:pt>
                <c:pt idx="46">
                  <c:v>44749</c:v>
                </c:pt>
                <c:pt idx="47">
                  <c:v>44900</c:v>
                </c:pt>
                <c:pt idx="48">
                  <c:v>44903</c:v>
                </c:pt>
                <c:pt idx="49">
                  <c:v>44954</c:v>
                </c:pt>
                <c:pt idx="50">
                  <c:v>45007</c:v>
                </c:pt>
                <c:pt idx="51">
                  <c:v>45076</c:v>
                </c:pt>
                <c:pt idx="52">
                  <c:v>45141</c:v>
                </c:pt>
                <c:pt idx="53">
                  <c:v>44893</c:v>
                </c:pt>
                <c:pt idx="54">
                  <c:v>44938</c:v>
                </c:pt>
                <c:pt idx="55">
                  <c:v>44978</c:v>
                </c:pt>
                <c:pt idx="56">
                  <c:v>44895</c:v>
                </c:pt>
                <c:pt idx="57">
                  <c:v>45125</c:v>
                </c:pt>
                <c:pt idx="58">
                  <c:v>44844</c:v>
                </c:pt>
                <c:pt idx="59">
                  <c:v>45044</c:v>
                </c:pt>
                <c:pt idx="60">
                  <c:v>45007</c:v>
                </c:pt>
                <c:pt idx="61">
                  <c:v>44916</c:v>
                </c:pt>
                <c:pt idx="62">
                  <c:v>45224</c:v>
                </c:pt>
                <c:pt idx="63">
                  <c:v>45001</c:v>
                </c:pt>
                <c:pt idx="64">
                  <c:v>45145</c:v>
                </c:pt>
                <c:pt idx="65">
                  <c:v>44973</c:v>
                </c:pt>
                <c:pt idx="66">
                  <c:v>45092</c:v>
                </c:pt>
                <c:pt idx="67">
                  <c:v>45054</c:v>
                </c:pt>
                <c:pt idx="68">
                  <c:v>45050</c:v>
                </c:pt>
                <c:pt idx="69">
                  <c:v>45231</c:v>
                </c:pt>
                <c:pt idx="70">
                  <c:v>45133</c:v>
                </c:pt>
                <c:pt idx="71">
                  <c:v>44742</c:v>
                </c:pt>
                <c:pt idx="72">
                  <c:v>45154</c:v>
                </c:pt>
                <c:pt idx="73">
                  <c:v>44866</c:v>
                </c:pt>
                <c:pt idx="74">
                  <c:v>44930</c:v>
                </c:pt>
                <c:pt idx="75">
                  <c:v>44965</c:v>
                </c:pt>
                <c:pt idx="76">
                  <c:v>44984</c:v>
                </c:pt>
                <c:pt idx="77">
                  <c:v>45107</c:v>
                </c:pt>
                <c:pt idx="78">
                  <c:v>45133</c:v>
                </c:pt>
                <c:pt idx="79">
                  <c:v>44848</c:v>
                </c:pt>
                <c:pt idx="80">
                  <c:v>44836</c:v>
                </c:pt>
                <c:pt idx="81">
                  <c:v>44862</c:v>
                </c:pt>
                <c:pt idx="82">
                  <c:v>45008</c:v>
                </c:pt>
                <c:pt idx="83">
                  <c:v>44858</c:v>
                </c:pt>
                <c:pt idx="84">
                  <c:v>45072</c:v>
                </c:pt>
                <c:pt idx="85">
                  <c:v>44965</c:v>
                </c:pt>
                <c:pt idx="86">
                  <c:v>45152</c:v>
                </c:pt>
                <c:pt idx="87">
                  <c:v>44862</c:v>
                </c:pt>
                <c:pt idx="88">
                  <c:v>45320</c:v>
                </c:pt>
                <c:pt idx="89">
                  <c:v>45155</c:v>
                </c:pt>
                <c:pt idx="90">
                  <c:v>44869</c:v>
                </c:pt>
                <c:pt idx="91">
                  <c:v>45147</c:v>
                </c:pt>
                <c:pt idx="92">
                  <c:v>45106</c:v>
                </c:pt>
                <c:pt idx="93">
                  <c:v>45093</c:v>
                </c:pt>
                <c:pt idx="94">
                  <c:v>44924</c:v>
                </c:pt>
                <c:pt idx="95">
                  <c:v>44946</c:v>
                </c:pt>
                <c:pt idx="96">
                  <c:v>44722</c:v>
                </c:pt>
                <c:pt idx="97">
                  <c:v>45189</c:v>
                </c:pt>
                <c:pt idx="98">
                  <c:v>44902</c:v>
                </c:pt>
                <c:pt idx="99">
                  <c:v>44944</c:v>
                </c:pt>
                <c:pt idx="100">
                  <c:v>45156</c:v>
                </c:pt>
                <c:pt idx="101">
                  <c:v>44959</c:v>
                </c:pt>
                <c:pt idx="102">
                  <c:v>44936</c:v>
                </c:pt>
                <c:pt idx="103">
                  <c:v>45219</c:v>
                </c:pt>
                <c:pt idx="104">
                  <c:v>45220</c:v>
                </c:pt>
                <c:pt idx="105">
                  <c:v>44853</c:v>
                </c:pt>
                <c:pt idx="106">
                  <c:v>44935</c:v>
                </c:pt>
                <c:pt idx="107">
                  <c:v>44907</c:v>
                </c:pt>
                <c:pt idx="108">
                  <c:v>44771</c:v>
                </c:pt>
                <c:pt idx="109">
                  <c:v>44833</c:v>
                </c:pt>
                <c:pt idx="110">
                  <c:v>45072</c:v>
                </c:pt>
                <c:pt idx="111">
                  <c:v>44981</c:v>
                </c:pt>
                <c:pt idx="112">
                  <c:v>44900</c:v>
                </c:pt>
                <c:pt idx="113">
                  <c:v>44722</c:v>
                </c:pt>
                <c:pt idx="114">
                  <c:v>45166</c:v>
                </c:pt>
                <c:pt idx="115">
                  <c:v>45126</c:v>
                </c:pt>
                <c:pt idx="116">
                  <c:v>45117</c:v>
                </c:pt>
                <c:pt idx="117">
                  <c:v>45007</c:v>
                </c:pt>
                <c:pt idx="118">
                  <c:v>45034</c:v>
                </c:pt>
                <c:pt idx="119">
                  <c:v>45076</c:v>
                </c:pt>
                <c:pt idx="120">
                  <c:v>44876</c:v>
                </c:pt>
                <c:pt idx="121">
                  <c:v>44979</c:v>
                </c:pt>
                <c:pt idx="122">
                  <c:v>44579</c:v>
                </c:pt>
                <c:pt idx="123">
                  <c:v>44842</c:v>
                </c:pt>
                <c:pt idx="124">
                  <c:v>44624</c:v>
                </c:pt>
                <c:pt idx="125">
                  <c:v>44704</c:v>
                </c:pt>
                <c:pt idx="126">
                  <c:v>44704</c:v>
                </c:pt>
                <c:pt idx="127">
                  <c:v>44718</c:v>
                </c:pt>
                <c:pt idx="128">
                  <c:v>44764</c:v>
                </c:pt>
                <c:pt idx="129">
                  <c:v>44883</c:v>
                </c:pt>
                <c:pt idx="130">
                  <c:v>45037</c:v>
                </c:pt>
                <c:pt idx="131">
                  <c:v>44954</c:v>
                </c:pt>
              </c:numCache>
            </c:numRef>
          </c:yVal>
          <c:smooth val="0"/>
          <c:extLst>
            <c:ext xmlns:c16="http://schemas.microsoft.com/office/drawing/2014/chart" uri="{C3380CC4-5D6E-409C-BE32-E72D297353CC}">
              <c16:uniqueId val="{00000000-13E1-400E-B894-D5154A18080B}"/>
            </c:ext>
          </c:extLst>
        </c:ser>
        <c:dLbls>
          <c:showLegendKey val="0"/>
          <c:showVal val="0"/>
          <c:showCatName val="0"/>
          <c:showSerName val="0"/>
          <c:showPercent val="0"/>
          <c:showBubbleSize val="0"/>
        </c:dLbls>
        <c:axId val="1978716063"/>
        <c:axId val="1978730943"/>
      </c:scatterChart>
      <c:valAx>
        <c:axId val="1978716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78730943"/>
        <c:crosses val="autoZero"/>
        <c:crossBetween val="midCat"/>
      </c:valAx>
      <c:valAx>
        <c:axId val="1978730943"/>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78716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碳达峰</c:v>
          </c:tx>
          <c:spPr>
            <a:ln w="19050" cap="rnd">
              <a:noFill/>
              <a:round/>
            </a:ln>
            <a:effectLst/>
          </c:spPr>
          <c:marker>
            <c:symbol val="circle"/>
            <c:size val="5"/>
            <c:spPr>
              <a:solidFill>
                <a:schemeClr val="accent1"/>
              </a:solidFill>
              <a:ln w="9525">
                <a:solidFill>
                  <a:schemeClr val="accent1"/>
                </a:solidFill>
              </a:ln>
              <a:effectLst/>
            </c:spPr>
          </c:marker>
          <c:xVal>
            <c:numRef>
              <c:f>Sheet3!$S$6:$S$29</c:f>
              <c:numCache>
                <c:formatCode>General</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xVal>
          <c:yVal>
            <c:numRef>
              <c:f>Sheet3!$T$6:$T$29</c:f>
              <c:numCache>
                <c:formatCode>m/d/yyyy</c:formatCode>
                <c:ptCount val="24"/>
                <c:pt idx="0">
                  <c:v>44845</c:v>
                </c:pt>
                <c:pt idx="1">
                  <c:v>44798</c:v>
                </c:pt>
                <c:pt idx="2">
                  <c:v>44750</c:v>
                </c:pt>
                <c:pt idx="3">
                  <c:v>44731</c:v>
                </c:pt>
                <c:pt idx="4">
                  <c:v>44931</c:v>
                </c:pt>
                <c:pt idx="5">
                  <c:v>44816</c:v>
                </c:pt>
                <c:pt idx="6">
                  <c:v>44764</c:v>
                </c:pt>
                <c:pt idx="7">
                  <c:v>44836</c:v>
                </c:pt>
                <c:pt idx="8">
                  <c:v>44827</c:v>
                </c:pt>
                <c:pt idx="9">
                  <c:v>44750</c:v>
                </c:pt>
                <c:pt idx="10">
                  <c:v>44913</c:v>
                </c:pt>
                <c:pt idx="11">
                  <c:v>44963</c:v>
                </c:pt>
                <c:pt idx="12">
                  <c:v>44862</c:v>
                </c:pt>
                <c:pt idx="13">
                  <c:v>44735</c:v>
                </c:pt>
                <c:pt idx="14">
                  <c:v>44782</c:v>
                </c:pt>
                <c:pt idx="15">
                  <c:v>44926</c:v>
                </c:pt>
                <c:pt idx="16">
                  <c:v>44869</c:v>
                </c:pt>
                <c:pt idx="17">
                  <c:v>44784</c:v>
                </c:pt>
                <c:pt idx="18">
                  <c:v>44764</c:v>
                </c:pt>
                <c:pt idx="19">
                  <c:v>44721</c:v>
                </c:pt>
                <c:pt idx="20">
                  <c:v>44913</c:v>
                </c:pt>
                <c:pt idx="21">
                  <c:v>44883</c:v>
                </c:pt>
                <c:pt idx="22">
                  <c:v>44924</c:v>
                </c:pt>
                <c:pt idx="23">
                  <c:v>44834</c:v>
                </c:pt>
              </c:numCache>
            </c:numRef>
          </c:yVal>
          <c:smooth val="0"/>
          <c:extLst>
            <c:ext xmlns:c16="http://schemas.microsoft.com/office/drawing/2014/chart" uri="{C3380CC4-5D6E-409C-BE32-E72D297353CC}">
              <c16:uniqueId val="{00000001-75ED-482A-8BC5-AA7F17193660}"/>
            </c:ext>
          </c:extLst>
        </c:ser>
        <c:ser>
          <c:idx val="1"/>
          <c:order val="1"/>
          <c:tx>
            <c:v>新发展理念</c:v>
          </c:tx>
          <c:spPr>
            <a:ln w="25400" cap="rnd">
              <a:noFill/>
              <a:round/>
            </a:ln>
            <a:effectLst/>
          </c:spPr>
          <c:marker>
            <c:symbol val="diamond"/>
            <c:size val="5"/>
            <c:spPr>
              <a:solidFill>
                <a:schemeClr val="accent2"/>
              </a:solidFill>
              <a:ln w="9525">
                <a:solidFill>
                  <a:schemeClr val="accent2"/>
                </a:solidFill>
              </a:ln>
              <a:effectLst/>
            </c:spPr>
          </c:marker>
          <c:xVal>
            <c:numRef>
              <c:f>Sheet3!$S$30:$S$49</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xVal>
          <c:yVal>
            <c:numRef>
              <c:f>Sheet3!$T$30:$T$49</c:f>
              <c:numCache>
                <c:formatCode>m/d/yyyy</c:formatCode>
                <c:ptCount val="20"/>
                <c:pt idx="0">
                  <c:v>44748</c:v>
                </c:pt>
                <c:pt idx="1">
                  <c:v>44771</c:v>
                </c:pt>
                <c:pt idx="2">
                  <c:v>44566</c:v>
                </c:pt>
                <c:pt idx="3">
                  <c:v>44944</c:v>
                </c:pt>
                <c:pt idx="4">
                  <c:v>44530</c:v>
                </c:pt>
                <c:pt idx="5">
                  <c:v>44576</c:v>
                </c:pt>
                <c:pt idx="6">
                  <c:v>44609</c:v>
                </c:pt>
                <c:pt idx="7">
                  <c:v>44668</c:v>
                </c:pt>
                <c:pt idx="8">
                  <c:v>44794</c:v>
                </c:pt>
                <c:pt idx="9">
                  <c:v>44657</c:v>
                </c:pt>
                <c:pt idx="10">
                  <c:v>44918</c:v>
                </c:pt>
                <c:pt idx="11">
                  <c:v>44633</c:v>
                </c:pt>
                <c:pt idx="12">
                  <c:v>44768</c:v>
                </c:pt>
                <c:pt idx="13">
                  <c:v>44634</c:v>
                </c:pt>
                <c:pt idx="14">
                  <c:v>44902</c:v>
                </c:pt>
                <c:pt idx="15">
                  <c:v>44786</c:v>
                </c:pt>
                <c:pt idx="16">
                  <c:v>44633</c:v>
                </c:pt>
                <c:pt idx="17">
                  <c:v>44743</c:v>
                </c:pt>
                <c:pt idx="18">
                  <c:v>44679</c:v>
                </c:pt>
                <c:pt idx="19">
                  <c:v>44569</c:v>
                </c:pt>
              </c:numCache>
            </c:numRef>
          </c:yVal>
          <c:smooth val="0"/>
          <c:extLst>
            <c:ext xmlns:c16="http://schemas.microsoft.com/office/drawing/2014/chart" uri="{C3380CC4-5D6E-409C-BE32-E72D297353CC}">
              <c16:uniqueId val="{00000002-75ED-482A-8BC5-AA7F17193660}"/>
            </c:ext>
          </c:extLst>
        </c:ser>
        <c:ser>
          <c:idx val="2"/>
          <c:order val="2"/>
          <c:tx>
            <c:v>碳达峰（中央）</c:v>
          </c:tx>
          <c:spPr>
            <a:ln w="25400" cap="rnd">
              <a:noFill/>
              <a:round/>
            </a:ln>
            <a:effectLst/>
          </c:spPr>
          <c:marker>
            <c:symbol val="triangle"/>
            <c:size val="7"/>
            <c:spPr>
              <a:solidFill>
                <a:srgbClr val="FF0000"/>
              </a:solidFill>
              <a:ln w="9525">
                <a:solidFill>
                  <a:srgbClr val="FF0000"/>
                </a:solidFill>
              </a:ln>
              <a:effectLst/>
            </c:spPr>
          </c:marker>
          <c:xVal>
            <c:numRef>
              <c:f>Sheet3!$S$3</c:f>
              <c:numCache>
                <c:formatCode>General</c:formatCode>
                <c:ptCount val="1"/>
                <c:pt idx="0">
                  <c:v>1</c:v>
                </c:pt>
              </c:numCache>
            </c:numRef>
          </c:xVal>
          <c:yVal>
            <c:numRef>
              <c:f>Sheet3!$T$3</c:f>
              <c:numCache>
                <c:formatCode>m/d/yyyy</c:formatCode>
                <c:ptCount val="1"/>
                <c:pt idx="0">
                  <c:v>44493</c:v>
                </c:pt>
              </c:numCache>
            </c:numRef>
          </c:yVal>
          <c:smooth val="0"/>
          <c:extLst>
            <c:ext xmlns:c16="http://schemas.microsoft.com/office/drawing/2014/chart" uri="{C3380CC4-5D6E-409C-BE32-E72D297353CC}">
              <c16:uniqueId val="{00000003-75ED-482A-8BC5-AA7F17193660}"/>
            </c:ext>
          </c:extLst>
        </c:ser>
        <c:ser>
          <c:idx val="3"/>
          <c:order val="3"/>
          <c:tx>
            <c:v>新发展理念（中央）</c:v>
          </c:tx>
          <c:spPr>
            <a:ln w="25400" cap="rnd">
              <a:noFill/>
              <a:round/>
            </a:ln>
            <a:effectLst/>
          </c:spPr>
          <c:marker>
            <c:symbol val="triangle"/>
            <c:size val="7"/>
            <c:spPr>
              <a:solidFill>
                <a:srgbClr val="00B050"/>
              </a:solidFill>
              <a:ln w="9525">
                <a:solidFill>
                  <a:srgbClr val="00B050"/>
                </a:solidFill>
              </a:ln>
              <a:effectLst/>
            </c:spPr>
          </c:marker>
          <c:xVal>
            <c:numRef>
              <c:f>Sheet3!$S$4</c:f>
              <c:numCache>
                <c:formatCode>General</c:formatCode>
                <c:ptCount val="1"/>
                <c:pt idx="0">
                  <c:v>1</c:v>
                </c:pt>
              </c:numCache>
            </c:numRef>
          </c:xVal>
          <c:yVal>
            <c:numRef>
              <c:f>Sheet3!$T$4</c:f>
              <c:numCache>
                <c:formatCode>m/d/yyyy</c:formatCode>
                <c:ptCount val="1"/>
                <c:pt idx="0">
                  <c:v>44461</c:v>
                </c:pt>
              </c:numCache>
            </c:numRef>
          </c:yVal>
          <c:smooth val="0"/>
          <c:extLst>
            <c:ext xmlns:c16="http://schemas.microsoft.com/office/drawing/2014/chart" uri="{C3380CC4-5D6E-409C-BE32-E72D297353CC}">
              <c16:uniqueId val="{00000004-75ED-482A-8BC5-AA7F17193660}"/>
            </c:ext>
          </c:extLst>
        </c:ser>
        <c:dLbls>
          <c:showLegendKey val="0"/>
          <c:showVal val="0"/>
          <c:showCatName val="0"/>
          <c:showSerName val="0"/>
          <c:showPercent val="0"/>
          <c:showBubbleSize val="0"/>
        </c:dLbls>
        <c:axId val="253076640"/>
        <c:axId val="253075680"/>
      </c:scatterChart>
      <c:valAx>
        <c:axId val="253076640"/>
        <c:scaling>
          <c:orientation val="minMax"/>
          <c:max val="1.1000000000000001"/>
          <c:min val="0.9"/>
        </c:scaling>
        <c:delete val="1"/>
        <c:axPos val="b"/>
        <c:numFmt formatCode="General" sourceLinked="1"/>
        <c:majorTickMark val="none"/>
        <c:minorTickMark val="none"/>
        <c:tickLblPos val="nextTo"/>
        <c:crossAx val="253075680"/>
        <c:crosses val="autoZero"/>
        <c:crossBetween val="midCat"/>
      </c:valAx>
      <c:valAx>
        <c:axId val="253075680"/>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53076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556260</xdr:colOff>
      <xdr:row>12</xdr:row>
      <xdr:rowOff>167640</xdr:rowOff>
    </xdr:from>
    <xdr:to>
      <xdr:col>22</xdr:col>
      <xdr:colOff>22860</xdr:colOff>
      <xdr:row>30</xdr:row>
      <xdr:rowOff>30480</xdr:rowOff>
    </xdr:to>
    <xdr:graphicFrame macro="">
      <xdr:nvGraphicFramePr>
        <xdr:cNvPr id="16" name="图表 15">
          <a:extLst>
            <a:ext uri="{FF2B5EF4-FFF2-40B4-BE49-F238E27FC236}">
              <a16:creationId xmlns:a16="http://schemas.microsoft.com/office/drawing/2014/main" id="{8A0368B2-6FC0-0B75-91AC-A21195596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198120</xdr:colOff>
      <xdr:row>6</xdr:row>
      <xdr:rowOff>148590</xdr:rowOff>
    </xdr:from>
    <xdr:to>
      <xdr:col>15</xdr:col>
      <xdr:colOff>111720</xdr:colOff>
      <xdr:row>37</xdr:row>
      <xdr:rowOff>115530</xdr:rowOff>
    </xdr:to>
    <xdr:graphicFrame macro="">
      <xdr:nvGraphicFramePr>
        <xdr:cNvPr id="2" name="图表 1">
          <a:extLst>
            <a:ext uri="{FF2B5EF4-FFF2-40B4-BE49-F238E27FC236}">
              <a16:creationId xmlns:a16="http://schemas.microsoft.com/office/drawing/2014/main" id="{88B07C73-08BB-D5B8-5D63-3037C340F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1165860</xdr:colOff>
      <xdr:row>38</xdr:row>
      <xdr:rowOff>102870</xdr:rowOff>
    </xdr:from>
    <xdr:to>
      <xdr:col>5</xdr:col>
      <xdr:colOff>571500</xdr:colOff>
      <xdr:row>54</xdr:row>
      <xdr:rowOff>41910</xdr:rowOff>
    </xdr:to>
    <xdr:graphicFrame macro="">
      <xdr:nvGraphicFramePr>
        <xdr:cNvPr id="3" name="图表 2">
          <a:extLst>
            <a:ext uri="{FF2B5EF4-FFF2-40B4-BE49-F238E27FC236}">
              <a16:creationId xmlns:a16="http://schemas.microsoft.com/office/drawing/2014/main" id="{2D846BFB-DC5C-CA3F-3069-4B0980F76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129540</xdr:colOff>
      <xdr:row>4</xdr:row>
      <xdr:rowOff>38100</xdr:rowOff>
    </xdr:from>
    <xdr:to>
      <xdr:col>23</xdr:col>
      <xdr:colOff>167640</xdr:colOff>
      <xdr:row>41</xdr:row>
      <xdr:rowOff>106680</xdr:rowOff>
    </xdr:to>
    <xdr:graphicFrame macro="">
      <xdr:nvGraphicFramePr>
        <xdr:cNvPr id="4" name="图表 3">
          <a:extLst>
            <a:ext uri="{FF2B5EF4-FFF2-40B4-BE49-F238E27FC236}">
              <a16:creationId xmlns:a16="http://schemas.microsoft.com/office/drawing/2014/main" id="{A98D320B-19FE-C35A-AB84-0162B89B2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26" Type="http://schemas.openxmlformats.org/officeDocument/2006/relationships/hyperlink" Target="https://www.ndrc.gov.cn/xxgk/zcfb/tz/202009/t20200925_1239582.html?code=&amp;state=123" TargetMode="External"/><Relationship Id="rId21" Type="http://schemas.openxmlformats.org/officeDocument/2006/relationships/hyperlink" Target="https://www.gov.cn/zhengce/zhengceku/2021-12/29/content_5665166.htm" TargetMode="External"/><Relationship Id="rId42" Type="http://schemas.openxmlformats.org/officeDocument/2006/relationships/hyperlink" Target="http://www.mohurd.gov.cn/wjfb/202105/t20210506_250023.html" TargetMode="External"/><Relationship Id="rId47" Type="http://schemas.openxmlformats.org/officeDocument/2006/relationships/hyperlink" Target="http://www.ccpitbuild.org/zhengce/2021-10-25/482.html" TargetMode="External"/><Relationship Id="rId63" Type="http://schemas.openxmlformats.org/officeDocument/2006/relationships/hyperlink" Target="https://www.mee.gov.cn/gkml/hbb/bgg/201612/t20161223_369497.htm" TargetMode="External"/><Relationship Id="rId68" Type="http://schemas.openxmlformats.org/officeDocument/2006/relationships/hyperlink" Target="http://www.gov.cn/zhengce/zhengceku/2021-08/05/content_5629560.htm" TargetMode="External"/><Relationship Id="rId84" Type="http://schemas.openxmlformats.org/officeDocument/2006/relationships/hyperlink" Target="https://www.gov.cn/zhengce/content/2022-01/24/content_5670202.htm" TargetMode="External"/><Relationship Id="rId89" Type="http://schemas.openxmlformats.org/officeDocument/2006/relationships/hyperlink" Target="https://www.mee.gov.cn/ywgz/fgbz/fl/201811/t20181113_673567.shtml" TargetMode="External"/><Relationship Id="rId16" Type="http://schemas.openxmlformats.org/officeDocument/2006/relationships/hyperlink" Target="https://www.ndrc.gov.cn/xxgk/zcfb/tz/202106/t20210611_1283088.html?code=&amp;state=123" TargetMode="External"/><Relationship Id="rId11" Type="http://schemas.openxmlformats.org/officeDocument/2006/relationships/hyperlink" Target="https://www.ndrc.gov.cn/xxgk/zcfb/ghxwj/201908/t20190807_960970.html" TargetMode="External"/><Relationship Id="rId32" Type="http://schemas.openxmlformats.org/officeDocument/2006/relationships/hyperlink" Target="http://www.gov.cn/xinwen/2020-08/27/content_5537859.htm" TargetMode="External"/><Relationship Id="rId37" Type="http://schemas.openxmlformats.org/officeDocument/2006/relationships/hyperlink" Target="https://www.ndrc.gov.cn/xxgk/zcfb/tz/201701/t20170119_962878.html" TargetMode="External"/><Relationship Id="rId53" Type="http://schemas.openxmlformats.org/officeDocument/2006/relationships/hyperlink" Target="http://www.gov.cn/gongbao/content/2008/content_1071844.htm" TargetMode="External"/><Relationship Id="rId58" Type="http://schemas.openxmlformats.org/officeDocument/2006/relationships/hyperlink" Target="http://www.gov.cn/zhengce/zhengceku/2020-04/22/content_5505188.htm" TargetMode="External"/><Relationship Id="rId74" Type="http://schemas.openxmlformats.org/officeDocument/2006/relationships/hyperlink" Target="http://www.gov.cn/gongbao/content/2021/content_5591410.htm" TargetMode="External"/><Relationship Id="rId79" Type="http://schemas.openxmlformats.org/officeDocument/2006/relationships/hyperlink" Target="http://www.forestry.gov.cn/main/58/20160728/892769.html" TargetMode="External"/><Relationship Id="rId5" Type="http://schemas.openxmlformats.org/officeDocument/2006/relationships/hyperlink" Target="http://www.gov.cn/ziliao/flfg/2005-06/21/content_8275.htm" TargetMode="External"/><Relationship Id="rId90" Type="http://schemas.openxmlformats.org/officeDocument/2006/relationships/hyperlink" Target="http://www.gov.cn/zhengce/zhengceku/2021-06/11/content_5616962.htm" TargetMode="External"/><Relationship Id="rId95" Type="http://schemas.openxmlformats.org/officeDocument/2006/relationships/hyperlink" Target="http://www.gov.cn/zhengce/zhengceku/2019-10/25/content_5444881.htm" TargetMode="External"/><Relationship Id="rId22" Type="http://schemas.openxmlformats.org/officeDocument/2006/relationships/hyperlink" Target="https://www.gov.cn/zhengce/zhengceku/2021-12/03/content_5655701.htm" TargetMode="External"/><Relationship Id="rId27" Type="http://schemas.openxmlformats.org/officeDocument/2006/relationships/hyperlink" Target="http://www.gov.cn/zhengce/zhengceku/2021-01/17/content_5580512.htm" TargetMode="External"/><Relationship Id="rId43" Type="http://schemas.openxmlformats.org/officeDocument/2006/relationships/hyperlink" Target="https://www.gov.cn/zhengce/zhengceku/2021-04/15/content_5599673.htm" TargetMode="External"/><Relationship Id="rId48" Type="http://schemas.openxmlformats.org/officeDocument/2006/relationships/hyperlink" Target="http://www.mohurd.gov.cn/zqyj/202001/t20200102_243372.html" TargetMode="External"/><Relationship Id="rId64" Type="http://schemas.openxmlformats.org/officeDocument/2006/relationships/hyperlink" Target="http://www.gov.cn/zhengce/zhengceku/2021-04/25/content_5601957.htm" TargetMode="External"/><Relationship Id="rId69" Type="http://schemas.openxmlformats.org/officeDocument/2006/relationships/hyperlink" Target="http://www.npc.gov.cn/zgrdw/npc/xinwen/2018-11/05/content_2065669.htm" TargetMode="External"/><Relationship Id="rId8" Type="http://schemas.openxmlformats.org/officeDocument/2006/relationships/hyperlink" Target="http://www.gov.cn/xinwen/2019-07/22/content_5412451.htm" TargetMode="External"/><Relationship Id="rId51" Type="http://schemas.openxmlformats.org/officeDocument/2006/relationships/hyperlink" Target="http://www.mohurd.gov.cn/wjfb/201904/t20190409_240118.html" TargetMode="External"/><Relationship Id="rId72" Type="http://schemas.openxmlformats.org/officeDocument/2006/relationships/hyperlink" Target="https://www.ndrc.gov.cn/xxgk/zcfb/tz/202106/t20210611_1283163.html?code=&amp;state=123" TargetMode="External"/><Relationship Id="rId80" Type="http://schemas.openxmlformats.org/officeDocument/2006/relationships/hyperlink" Target="http://www.gov.cn/xinwen/2021-03/13/content_5592681.htm" TargetMode="External"/><Relationship Id="rId85" Type="http://schemas.openxmlformats.org/officeDocument/2006/relationships/hyperlink" Target="https://baike.baidu.com/item/%E4%B8%AD%E5%8D%8E%E4%BA%BA%E6%B0%91%E5%85%B1%E5%92%8C%E5%9B%BD%E8%8A%82%E7%BA%A6%E8%83%BD%E6%BA%90%E6%B3%95/543313" TargetMode="External"/><Relationship Id="rId93" Type="http://schemas.openxmlformats.org/officeDocument/2006/relationships/hyperlink" Target="https://sme.miit.gov.cn/xwzx/jdxw/art/2021/art_1634dc00aace4c32a6f18aa0b4819b18.html" TargetMode="External"/><Relationship Id="rId3" Type="http://schemas.openxmlformats.org/officeDocument/2006/relationships/hyperlink" Target="https://www.ndrc.gov.cn/xwdt/tzgg/202108/t20210810_1293397.html?code=&amp;state=123" TargetMode="External"/><Relationship Id="rId12" Type="http://schemas.openxmlformats.org/officeDocument/2006/relationships/hyperlink" Target="http://www.gov.cn/zhengce/zhengceku/2020-10/21/content_5552978.htm" TargetMode="External"/><Relationship Id="rId17" Type="http://schemas.openxmlformats.org/officeDocument/2006/relationships/hyperlink" Target="https://www.ndrc.gov.cn/xxgk/zcfb/tz/202105/t20210507_1279341.html?code=&amp;state=123" TargetMode="External"/><Relationship Id="rId25" Type="http://schemas.openxmlformats.org/officeDocument/2006/relationships/hyperlink" Target="https://www.ndrc.gov.cn/xxgk/zcfb/tz/202009/t20200925_1239582.html?code=&amp;state=123" TargetMode="External"/><Relationship Id="rId33" Type="http://schemas.openxmlformats.org/officeDocument/2006/relationships/hyperlink" Target="http://www.gov.cn/xinwen/2015-11/25/content_2971995.htm" TargetMode="External"/><Relationship Id="rId38" Type="http://schemas.openxmlformats.org/officeDocument/2006/relationships/hyperlink" Target="https://www.ndrc.gov.cn/xxgk/zcfb/ghxwj/202105/t20210522_1280548.html?code=&amp;state=123" TargetMode="External"/><Relationship Id="rId46" Type="http://schemas.openxmlformats.org/officeDocument/2006/relationships/hyperlink" Target="http://www.gov.cn/zhengce/zhengceku/2020-07/24/content_5529745.htm" TargetMode="External"/><Relationship Id="rId59" Type="http://schemas.openxmlformats.org/officeDocument/2006/relationships/hyperlink" Target="http://www.gov.cn/zhengce/zhengceku/2020-04/23/content_5505502.htm" TargetMode="External"/><Relationship Id="rId67" Type="http://schemas.openxmlformats.org/officeDocument/2006/relationships/hyperlink" Target="http://www.gov.cn/zhengce/zhengceku/2021-06/10/content_5616601.htm" TargetMode="External"/><Relationship Id="rId20" Type="http://schemas.openxmlformats.org/officeDocument/2006/relationships/hyperlink" Target="https://www.ndrc.gov.cn/xxgk/zcfb/tz/202103/t20210323_1270129.html?code=&amp;state=123" TargetMode="External"/><Relationship Id="rId41" Type="http://schemas.openxmlformats.org/officeDocument/2006/relationships/hyperlink" Target="https://www.gov.cn/xinwen/2021-06/22/content_5620028.htm" TargetMode="External"/><Relationship Id="rId54" Type="http://schemas.openxmlformats.org/officeDocument/2006/relationships/hyperlink" Target="http://www.gov.cn/zhengce/2021-02/24/content_5588654.htm" TargetMode="External"/><Relationship Id="rId62" Type="http://schemas.openxmlformats.org/officeDocument/2006/relationships/hyperlink" Target="http://www.gov.cn/zhengce/zhengceku/2020-06/22/content_5521144.htm" TargetMode="External"/><Relationship Id="rId70" Type="http://schemas.openxmlformats.org/officeDocument/2006/relationships/hyperlink" Target="http://www.gov.cn/zhengce/zhengceku/2021-07/24/content_5627088.htm" TargetMode="External"/><Relationship Id="rId75" Type="http://schemas.openxmlformats.org/officeDocument/2006/relationships/hyperlink" Target="https://www.ndrc.gov.cn/xxgk/zcfb/tz/202006/t20200611_1231112.html" TargetMode="External"/><Relationship Id="rId83" Type="http://schemas.openxmlformats.org/officeDocument/2006/relationships/hyperlink" Target="https://www.gov.cn/zhengce/content/2021-10/26/content_5644984.htm" TargetMode="External"/><Relationship Id="rId88" Type="http://schemas.openxmlformats.org/officeDocument/2006/relationships/hyperlink" Target="https://www.ndrc.gov.cn/xxgk/zcfb/tz/201606/t20160601_963080.html" TargetMode="External"/><Relationship Id="rId91" Type="http://schemas.openxmlformats.org/officeDocument/2006/relationships/hyperlink" Target="https://www.ndrc.gov.cn/xxgk/zcfb/tz/202103/t20210312_1269410.html" TargetMode="External"/><Relationship Id="rId1" Type="http://schemas.openxmlformats.org/officeDocument/2006/relationships/hyperlink" Target="http://www.gov.cn/zhengce/zhengceku/2021-05/27/content_5612874.htm" TargetMode="External"/><Relationship Id="rId6" Type="http://schemas.openxmlformats.org/officeDocument/2006/relationships/hyperlink" Target="https://www.ndrc.gov.cn/xxgk/zcfb/tz/201905/t20190515_962446.html" TargetMode="External"/><Relationship Id="rId15" Type="http://schemas.openxmlformats.org/officeDocument/2006/relationships/hyperlink" Target="https://www.ndrc.gov.cn/xxgk/zcfb/ghxwj/202103/t20210305_1269046.html?code=&amp;state=123" TargetMode="External"/><Relationship Id="rId23" Type="http://schemas.openxmlformats.org/officeDocument/2006/relationships/hyperlink" Target="http://www.mee.gov.cn/xxgk2018/xxgk/xxgk03/202105/t20210531_835511.html" TargetMode="External"/><Relationship Id="rId28" Type="http://schemas.openxmlformats.org/officeDocument/2006/relationships/hyperlink" Target="https://www.miit.gov.cn/jgsj/jns/wjfb/art/2020/art_7169a812f9d2455d908c00fbf5c0149b.html" TargetMode="External"/><Relationship Id="rId36" Type="http://schemas.openxmlformats.org/officeDocument/2006/relationships/hyperlink" Target="http://www.mee.gov.cn/gkml/hbb/bgt/201709/t20170913_421402.htm" TargetMode="External"/><Relationship Id="rId49" Type="http://schemas.openxmlformats.org/officeDocument/2006/relationships/hyperlink" Target="http://www.mohurd.gov.cn/wjfb/201905/t20190530_240712.html" TargetMode="External"/><Relationship Id="rId57" Type="http://schemas.openxmlformats.org/officeDocument/2006/relationships/hyperlink" Target="http://www.gov.cn/zhengce/content/2020-11/02/content_5556716.htm" TargetMode="External"/><Relationship Id="rId10" Type="http://schemas.openxmlformats.org/officeDocument/2006/relationships/hyperlink" Target="http://www.gov.cn/xinwen/2019-10/25/content_5444655.htm" TargetMode="External"/><Relationship Id="rId31" Type="http://schemas.openxmlformats.org/officeDocument/2006/relationships/hyperlink" Target="https://www.miit.gov.cn/jgsj/jns/wjfb/art/2020/art_cd1f54c35d564035b9e34389e27bcb4a.html" TargetMode="External"/><Relationship Id="rId44" Type="http://schemas.openxmlformats.org/officeDocument/2006/relationships/hyperlink" Target="http://www.gov.cn/zhengce/zhengceku/2020-10/22/content_5553250.htm" TargetMode="External"/><Relationship Id="rId52" Type="http://schemas.openxmlformats.org/officeDocument/2006/relationships/hyperlink" Target="http://www.mohurd.gov.cn/wjfb/201508/t20150827_224011.html" TargetMode="External"/><Relationship Id="rId60" Type="http://schemas.openxmlformats.org/officeDocument/2006/relationships/hyperlink" Target="http://www.gov.cn/xinwen/2019-05/09/content_5389902.htm" TargetMode="External"/><Relationship Id="rId65" Type="http://schemas.openxmlformats.org/officeDocument/2006/relationships/hyperlink" Target="http://www.gov.cn/zhengce/zhengceku/2021-07/07/content_5623077.htm" TargetMode="External"/><Relationship Id="rId73" Type="http://schemas.openxmlformats.org/officeDocument/2006/relationships/hyperlink" Target="http://www.gov.cn/zhengce/zhengceku/2020-09/21/content_5545221.htm" TargetMode="External"/><Relationship Id="rId78" Type="http://schemas.openxmlformats.org/officeDocument/2006/relationships/hyperlink" Target="https://baike.baidu.com/item/%E5%9B%BD%E5%AE%B6%E5%82%A8%E5%A4%87%E6%9E%97%E5%BB%BA%E8%AE%BE%E8%A7%84%E5%88%92%EF%BC%882018-2035%E5%B9%B4%EF%BC%89/22490848" TargetMode="External"/><Relationship Id="rId81" Type="http://schemas.openxmlformats.org/officeDocument/2006/relationships/hyperlink" Target="https://www.gov.cn/zhengce/2021-10/24/content_5644613.htm" TargetMode="External"/><Relationship Id="rId86" Type="http://schemas.openxmlformats.org/officeDocument/2006/relationships/hyperlink" Target="https://www.ndrc.gov.cn/xxgk/zcfb/tz/201704/t20170425_962953.html" TargetMode="External"/><Relationship Id="rId94" Type="http://schemas.openxmlformats.org/officeDocument/2006/relationships/hyperlink" Target="http://www.gov.cn/zhengce/zhengceku/2018-12/31/content_5442783.htm" TargetMode="External"/><Relationship Id="rId4" Type="http://schemas.openxmlformats.org/officeDocument/2006/relationships/hyperlink" Target="http://www.gov.cn/xinwen/2017-02/03/content_5164836.htm" TargetMode="External"/><Relationship Id="rId9" Type="http://schemas.openxmlformats.org/officeDocument/2006/relationships/hyperlink" Target="http://zfxxgk.nea.gov.cn/auto87/201803/t20180323_3131.htm" TargetMode="External"/><Relationship Id="rId13" Type="http://schemas.openxmlformats.org/officeDocument/2006/relationships/hyperlink" Target="https://www.ndrc.gov.cn/xxgk/zcfb/ghxwj/202007/t20200701_1232843.html" TargetMode="External"/><Relationship Id="rId18" Type="http://schemas.openxmlformats.org/officeDocument/2006/relationships/hyperlink" Target="https://www.ndrc.gov.cn/xxgk/zcfb/tz/202009/t20200916_1238868.html" TargetMode="External"/><Relationship Id="rId39" Type="http://schemas.openxmlformats.org/officeDocument/2006/relationships/hyperlink" Target="https://www.gov.cn/zhengce/2021-06/25/content_5723644.htm" TargetMode="External"/><Relationship Id="rId34" Type="http://schemas.openxmlformats.org/officeDocument/2006/relationships/hyperlink" Target="https://www.ndrc.gov.cn/xxgk/zcfb/tz/202106/t20210603_1282521.html?code=&amp;state=123" TargetMode="External"/><Relationship Id="rId50" Type="http://schemas.openxmlformats.org/officeDocument/2006/relationships/hyperlink" Target="http://www.mohurd.gov.cn/wjfb/201909/t20190910_241751.html" TargetMode="External"/><Relationship Id="rId55" Type="http://schemas.openxmlformats.org/officeDocument/2006/relationships/hyperlink" Target="https://www.ndrc.gov.cn/hdjl/yjzq/202105/t20210520_1280320.html?code=&amp;state=123" TargetMode="External"/><Relationship Id="rId76" Type="http://schemas.openxmlformats.org/officeDocument/2006/relationships/hyperlink" Target="https://www.ndrc.gov.cn/xxgk/zcfb/tz/202106/t20210623_1283821.html" TargetMode="External"/><Relationship Id="rId7" Type="http://schemas.openxmlformats.org/officeDocument/2006/relationships/hyperlink" Target="https://www.ndrc.gov.cn/xxgk/zcfb/tz/201901/t20190109_962365.html" TargetMode="External"/><Relationship Id="rId71" Type="http://schemas.openxmlformats.org/officeDocument/2006/relationships/hyperlink" Target="https://www.ndrc.gov.cn/xxgk/zcfb/ghxwj/201912/t20191219_1213770.html" TargetMode="External"/><Relationship Id="rId92" Type="http://schemas.openxmlformats.org/officeDocument/2006/relationships/hyperlink" Target="http://www.gov.cn/zhengce/zhengceku/2021-04/22/content_5601284.htm" TargetMode="External"/><Relationship Id="rId2" Type="http://schemas.openxmlformats.org/officeDocument/2006/relationships/hyperlink" Target="http://www.nea.gov.cn/2020-04/10/c_138963212.htm" TargetMode="External"/><Relationship Id="rId29" Type="http://schemas.openxmlformats.org/officeDocument/2006/relationships/hyperlink" Target="https://www.miit.gov.cn/gzcy/yjzj/art/2020/art_af1bef04b9624997956b2bff6cdb7383.html" TargetMode="External"/><Relationship Id="rId24" Type="http://schemas.openxmlformats.org/officeDocument/2006/relationships/hyperlink" Target="http://www.gov.cn/zhengce/zhengceku/2020-02/21/content_5481719.htm" TargetMode="External"/><Relationship Id="rId40" Type="http://schemas.openxmlformats.org/officeDocument/2006/relationships/hyperlink" Target="http://www.gov.cn/zhengce/zhengceku/2021-06/08/content_5616290.htm" TargetMode="External"/><Relationship Id="rId45" Type="http://schemas.openxmlformats.org/officeDocument/2006/relationships/hyperlink" Target="https://www.gov.cn/zhengce/2021-04/15/content_5599679.htm" TargetMode="External"/><Relationship Id="rId66" Type="http://schemas.openxmlformats.org/officeDocument/2006/relationships/hyperlink" Target="http://www.gov.cn/xinwen/2021-02/22/content_5588304.htm" TargetMode="External"/><Relationship Id="rId87" Type="http://schemas.openxmlformats.org/officeDocument/2006/relationships/hyperlink" Target="https://www.ndrc.gov.cn/xxgk/zcfb/tz/202105/t20210525_1280785.html?code=&amp;state=123" TargetMode="External"/><Relationship Id="rId61" Type="http://schemas.openxmlformats.org/officeDocument/2006/relationships/hyperlink" Target="https://www.gov.cn/zhengce/zhengceku/2019-10/25/content_5445047.htm" TargetMode="External"/><Relationship Id="rId82" Type="http://schemas.openxmlformats.org/officeDocument/2006/relationships/hyperlink" Target="https://www.gov.cn/zhengce/content/2021-10/26/content_5644984.htm" TargetMode="External"/><Relationship Id="rId19" Type="http://schemas.openxmlformats.org/officeDocument/2006/relationships/hyperlink" Target="https://policy.asiapacificenergy.org/sites/default/files/Interim%20Measures%20for%20the%20Administration%20of%20the%20Collection%20and%20Use%20of%20the%20Renewable%20Energy%20Development%20Fund%20%28CH%29.pdf" TargetMode="External"/><Relationship Id="rId14" Type="http://schemas.openxmlformats.org/officeDocument/2006/relationships/hyperlink" Target="https://www.ndrc.gov.cn/xxgk/zcfb/tz/202107/t20210705_1285399.html?code=&amp;state=123" TargetMode="External"/><Relationship Id="rId30" Type="http://schemas.openxmlformats.org/officeDocument/2006/relationships/hyperlink" Target="https://www.mee.gov.cn/xxgk2018/xxgk/xxgk06/202005/t20200521_780130.html" TargetMode="External"/><Relationship Id="rId35" Type="http://schemas.openxmlformats.org/officeDocument/2006/relationships/hyperlink" Target="http://www.gov.cn/xinwen/2019-06/19/content_5401443.htm" TargetMode="External"/><Relationship Id="rId56" Type="http://schemas.openxmlformats.org/officeDocument/2006/relationships/hyperlink" Target="http://www.caam.org.cn/chn/1/cate_2/con_5233121.html" TargetMode="External"/><Relationship Id="rId77" Type="http://schemas.openxmlformats.org/officeDocument/2006/relationships/hyperlink" Target="https://www.forestry.gov.cn/zlszz/4249/20190807/091811732361912.html"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E702-21B6-421F-B9F5-EEE6701286DE}">
  <dimension ref="A1:N36"/>
  <sheetViews>
    <sheetView workbookViewId="0">
      <selection activeCell="O3" sqref="O3"/>
    </sheetView>
  </sheetViews>
  <sheetFormatPr defaultRowHeight="14.25" x14ac:dyDescent="0.2"/>
  <cols>
    <col min="1" max="1" width="3.5" bestFit="1" customWidth="1"/>
    <col min="3" max="14" width="16.75" customWidth="1"/>
  </cols>
  <sheetData>
    <row r="1" spans="1:14" x14ac:dyDescent="0.2">
      <c r="A1" s="29"/>
      <c r="B1" s="29"/>
      <c r="C1" s="29" t="s">
        <v>0</v>
      </c>
      <c r="D1" s="29" t="s">
        <v>1</v>
      </c>
      <c r="E1" s="29" t="s">
        <v>2</v>
      </c>
      <c r="F1" s="29" t="s">
        <v>3</v>
      </c>
      <c r="G1" s="29" t="s">
        <v>4</v>
      </c>
      <c r="H1" s="29" t="s">
        <v>5</v>
      </c>
      <c r="I1" s="29" t="s">
        <v>6</v>
      </c>
      <c r="J1" s="29" t="s">
        <v>7</v>
      </c>
      <c r="K1" s="29" t="s">
        <v>8</v>
      </c>
      <c r="L1" s="29" t="s">
        <v>9</v>
      </c>
      <c r="M1" s="29" t="s">
        <v>10</v>
      </c>
      <c r="N1" s="29" t="s">
        <v>11</v>
      </c>
    </row>
    <row r="2" spans="1:14" x14ac:dyDescent="0.2">
      <c r="A2" s="29"/>
      <c r="B2" s="29"/>
      <c r="C2" s="29"/>
      <c r="D2" s="29"/>
      <c r="E2" s="29"/>
      <c r="F2" s="29"/>
      <c r="G2" s="29"/>
      <c r="H2" s="29"/>
      <c r="I2" s="29"/>
      <c r="J2" s="29"/>
      <c r="K2" s="29"/>
      <c r="L2" s="29"/>
      <c r="M2" s="29"/>
      <c r="N2" s="29"/>
    </row>
    <row r="3" spans="1:14" x14ac:dyDescent="0.2">
      <c r="A3">
        <v>1</v>
      </c>
      <c r="B3" t="s">
        <v>12</v>
      </c>
      <c r="C3" s="3"/>
      <c r="D3" s="2"/>
      <c r="E3" s="2"/>
      <c r="F3" s="2"/>
      <c r="G3" s="3"/>
      <c r="H3" s="2"/>
      <c r="I3" s="2"/>
      <c r="J3" s="2"/>
      <c r="K3" s="2"/>
      <c r="L3" s="2"/>
      <c r="M3" s="5"/>
      <c r="N3" s="3"/>
    </row>
    <row r="4" spans="1:14" x14ac:dyDescent="0.2">
      <c r="A4">
        <v>2</v>
      </c>
      <c r="B4" t="s">
        <v>13</v>
      </c>
      <c r="C4" s="3"/>
      <c r="D4" s="2"/>
      <c r="E4" s="3"/>
      <c r="F4" s="3"/>
      <c r="G4" s="3"/>
      <c r="H4" s="2"/>
      <c r="I4" s="3"/>
      <c r="J4" s="2"/>
      <c r="K4" s="2"/>
      <c r="L4" s="2"/>
      <c r="M4" s="3"/>
      <c r="N4" s="3"/>
    </row>
    <row r="5" spans="1:14" x14ac:dyDescent="0.2">
      <c r="A5">
        <v>3</v>
      </c>
      <c r="B5" t="s">
        <v>14</v>
      </c>
      <c r="C5" s="3"/>
      <c r="D5" s="3"/>
      <c r="E5" s="3"/>
      <c r="F5" s="3"/>
      <c r="G5" s="3"/>
      <c r="H5" s="2"/>
      <c r="I5" s="3"/>
      <c r="J5" s="2"/>
      <c r="K5" s="2"/>
      <c r="L5" s="2"/>
      <c r="M5" s="3"/>
      <c r="N5" s="3"/>
    </row>
    <row r="6" spans="1:14" x14ac:dyDescent="0.2">
      <c r="A6">
        <v>4</v>
      </c>
      <c r="B6" t="s">
        <v>15</v>
      </c>
      <c r="C6" s="2"/>
      <c r="D6" s="3"/>
      <c r="E6" s="3"/>
      <c r="F6" s="3"/>
      <c r="G6" s="3"/>
      <c r="H6" s="3"/>
      <c r="I6" s="3"/>
      <c r="J6" s="2"/>
      <c r="K6" s="2"/>
      <c r="L6" s="2"/>
      <c r="M6" s="5"/>
      <c r="N6" s="2"/>
    </row>
    <row r="7" spans="1:14" x14ac:dyDescent="0.2">
      <c r="A7">
        <v>5</v>
      </c>
      <c r="B7" t="s">
        <v>16</v>
      </c>
      <c r="C7" s="3"/>
      <c r="D7" s="3"/>
      <c r="E7" s="3"/>
      <c r="F7" s="3"/>
      <c r="G7" s="3"/>
      <c r="H7" s="3"/>
      <c r="I7" s="3"/>
      <c r="J7" s="2"/>
      <c r="K7" s="2"/>
      <c r="L7" s="2"/>
      <c r="M7" s="3"/>
      <c r="N7" s="3"/>
    </row>
    <row r="8" spans="1:14" x14ac:dyDescent="0.2">
      <c r="A8">
        <v>6</v>
      </c>
      <c r="B8" t="s">
        <v>17</v>
      </c>
      <c r="C8" s="3"/>
      <c r="D8" s="3"/>
      <c r="E8" s="3"/>
      <c r="F8" s="3"/>
      <c r="G8" s="3"/>
      <c r="H8" s="3"/>
      <c r="I8" s="3"/>
      <c r="J8" s="3"/>
      <c r="K8" s="2"/>
      <c r="L8" s="2"/>
      <c r="M8" s="2"/>
      <c r="N8" s="2"/>
    </row>
    <row r="9" spans="1:14" x14ac:dyDescent="0.2">
      <c r="A9">
        <v>7</v>
      </c>
      <c r="B9" t="s">
        <v>18</v>
      </c>
      <c r="C9" s="3"/>
      <c r="D9" s="2"/>
      <c r="E9" s="2"/>
      <c r="F9" s="3"/>
      <c r="G9" s="3"/>
      <c r="H9" s="2"/>
      <c r="I9" s="3"/>
      <c r="J9" s="2"/>
      <c r="K9" s="2"/>
      <c r="L9" s="2"/>
      <c r="M9" s="5"/>
      <c r="N9" s="3"/>
    </row>
    <row r="10" spans="1:14" x14ac:dyDescent="0.2">
      <c r="A10">
        <v>8</v>
      </c>
      <c r="B10" t="s">
        <v>19</v>
      </c>
      <c r="C10" s="3"/>
      <c r="D10" s="3"/>
      <c r="E10" s="3"/>
      <c r="F10" s="3"/>
      <c r="G10" s="3"/>
      <c r="H10" s="2"/>
      <c r="I10" s="3"/>
      <c r="J10" s="2"/>
      <c r="K10" s="2"/>
      <c r="L10" s="2"/>
      <c r="M10" s="2"/>
      <c r="N10" s="3"/>
    </row>
    <row r="11" spans="1:14" x14ac:dyDescent="0.2">
      <c r="A11">
        <v>9</v>
      </c>
      <c r="B11" t="s">
        <v>20</v>
      </c>
      <c r="C11" s="5"/>
      <c r="D11" s="5"/>
      <c r="E11" s="3"/>
      <c r="F11" s="3"/>
      <c r="G11" s="3"/>
      <c r="H11" s="2"/>
      <c r="I11" s="3"/>
      <c r="J11" s="2"/>
      <c r="K11" s="2"/>
      <c r="L11" s="2"/>
      <c r="M11" s="5"/>
      <c r="N11" s="2"/>
    </row>
    <row r="12" spans="1:14" x14ac:dyDescent="0.2">
      <c r="A12">
        <v>10</v>
      </c>
      <c r="B12" t="s">
        <v>21</v>
      </c>
      <c r="C12" s="3"/>
      <c r="D12" s="3"/>
      <c r="E12" s="3"/>
      <c r="F12" s="3"/>
      <c r="G12" s="3"/>
      <c r="H12" s="3"/>
      <c r="I12" s="3"/>
      <c r="J12" s="2"/>
      <c r="K12" s="2"/>
      <c r="L12" s="2"/>
      <c r="M12" s="2"/>
      <c r="N12" s="3"/>
    </row>
    <row r="13" spans="1:14" x14ac:dyDescent="0.2">
      <c r="A13">
        <v>11</v>
      </c>
      <c r="B13" t="s">
        <v>22</v>
      </c>
      <c r="C13" s="2"/>
      <c r="D13" s="3"/>
      <c r="E13" s="3"/>
      <c r="F13" s="2"/>
      <c r="G13" s="3"/>
      <c r="H13" s="2"/>
      <c r="I13" s="3"/>
      <c r="J13" s="3"/>
      <c r="K13" s="3"/>
      <c r="L13" s="2"/>
      <c r="M13" s="2"/>
      <c r="N13" s="3"/>
    </row>
    <row r="14" spans="1:14" x14ac:dyDescent="0.2">
      <c r="A14">
        <v>12</v>
      </c>
      <c r="B14" t="s">
        <v>23</v>
      </c>
      <c r="C14" s="3"/>
      <c r="D14" s="3"/>
      <c r="E14" s="3"/>
      <c r="F14" s="3"/>
      <c r="G14" s="5"/>
      <c r="H14" s="2"/>
      <c r="I14" s="2"/>
      <c r="J14" s="2"/>
      <c r="K14" s="2"/>
      <c r="L14" s="2"/>
      <c r="M14" s="5"/>
      <c r="N14" s="3"/>
    </row>
    <row r="15" spans="1:14" x14ac:dyDescent="0.2">
      <c r="A15">
        <v>13</v>
      </c>
      <c r="B15" t="s">
        <v>24</v>
      </c>
      <c r="C15" s="2"/>
      <c r="D15" s="3"/>
      <c r="E15" s="3"/>
      <c r="F15" s="3"/>
      <c r="G15" s="3"/>
      <c r="H15" s="3"/>
      <c r="I15" s="3"/>
      <c r="J15" s="3"/>
      <c r="K15" s="3"/>
      <c r="L15" s="3"/>
      <c r="M15" s="5"/>
      <c r="N15" s="3"/>
    </row>
    <row r="16" spans="1:14" x14ac:dyDescent="0.2">
      <c r="A16">
        <v>14</v>
      </c>
      <c r="B16" t="s">
        <v>25</v>
      </c>
      <c r="C16" s="3"/>
      <c r="D16" s="3"/>
      <c r="E16" s="3"/>
      <c r="F16" s="3"/>
      <c r="G16" s="3"/>
      <c r="H16" s="2"/>
      <c r="I16" s="3"/>
      <c r="J16" s="2"/>
      <c r="K16" s="3"/>
      <c r="L16" s="3"/>
      <c r="M16" s="3"/>
      <c r="N16" s="2"/>
    </row>
    <row r="17" spans="1:14" x14ac:dyDescent="0.2">
      <c r="A17">
        <v>15</v>
      </c>
      <c r="B17" t="s">
        <v>26</v>
      </c>
      <c r="C17" s="3"/>
      <c r="D17" s="3"/>
      <c r="E17" s="3"/>
      <c r="F17" s="3"/>
      <c r="G17" s="3"/>
      <c r="H17" s="2"/>
      <c r="I17" s="3"/>
      <c r="J17" s="2"/>
      <c r="K17" s="3"/>
      <c r="L17" s="2"/>
      <c r="M17" s="3"/>
      <c r="N17" s="3"/>
    </row>
    <row r="18" spans="1:14" x14ac:dyDescent="0.2">
      <c r="A18">
        <v>16</v>
      </c>
      <c r="B18" t="s">
        <v>27</v>
      </c>
      <c r="C18" s="3"/>
      <c r="D18" s="2"/>
      <c r="E18" s="3"/>
      <c r="F18" s="3"/>
      <c r="G18" s="3"/>
      <c r="H18" s="2"/>
      <c r="I18" s="3"/>
      <c r="J18" s="2"/>
      <c r="K18" s="3"/>
      <c r="L18" s="5"/>
      <c r="M18" s="2"/>
      <c r="N18" s="3"/>
    </row>
    <row r="19" spans="1:14" x14ac:dyDescent="0.2">
      <c r="A19">
        <v>17</v>
      </c>
      <c r="B19" t="s">
        <v>28</v>
      </c>
      <c r="C19" s="2"/>
      <c r="D19" s="5"/>
      <c r="E19" s="2"/>
      <c r="F19" s="3"/>
      <c r="G19" s="3"/>
      <c r="H19" s="2"/>
      <c r="I19" s="3"/>
      <c r="J19" s="2"/>
      <c r="K19" s="2"/>
      <c r="L19" s="2"/>
      <c r="M19" s="2"/>
      <c r="N19" s="2"/>
    </row>
    <row r="20" spans="1:14" x14ac:dyDescent="0.2">
      <c r="A20">
        <v>18</v>
      </c>
      <c r="B20" t="s">
        <v>29</v>
      </c>
      <c r="C20" s="3"/>
      <c r="D20" s="3"/>
      <c r="E20" s="3"/>
      <c r="F20" s="3"/>
      <c r="G20" s="3"/>
      <c r="H20" s="3"/>
      <c r="I20" s="2"/>
      <c r="J20" s="3"/>
      <c r="K20" s="3"/>
      <c r="L20" s="3"/>
      <c r="M20" s="3"/>
      <c r="N20" s="3"/>
    </row>
    <row r="21" spans="1:14" x14ac:dyDescent="0.2">
      <c r="A21">
        <v>19</v>
      </c>
      <c r="B21" t="s">
        <v>30</v>
      </c>
      <c r="C21" s="3"/>
      <c r="D21" s="3"/>
      <c r="E21" s="2"/>
      <c r="F21" s="3"/>
      <c r="G21" s="3"/>
      <c r="H21" s="2"/>
      <c r="I21" s="3"/>
      <c r="J21" s="2"/>
      <c r="K21" s="2"/>
      <c r="L21" s="2"/>
      <c r="M21" s="2"/>
      <c r="N21" s="2"/>
    </row>
    <row r="22" spans="1:14" x14ac:dyDescent="0.2">
      <c r="A22">
        <v>20</v>
      </c>
      <c r="B22" t="s">
        <v>31</v>
      </c>
      <c r="C22" s="3"/>
      <c r="D22" s="2"/>
      <c r="E22" s="2"/>
      <c r="F22" s="2"/>
      <c r="G22" s="2"/>
      <c r="H22" s="2"/>
      <c r="I22" s="3"/>
      <c r="J22" s="2"/>
      <c r="K22" s="2"/>
      <c r="L22" s="2"/>
      <c r="M22" s="2"/>
      <c r="N22" s="3"/>
    </row>
    <row r="23" spans="1:14" x14ac:dyDescent="0.2">
      <c r="A23">
        <v>21</v>
      </c>
      <c r="B23" t="s">
        <v>32</v>
      </c>
      <c r="C23" s="3"/>
      <c r="D23" s="3"/>
      <c r="E23" s="3"/>
      <c r="F23" s="3"/>
      <c r="G23" s="3"/>
      <c r="H23" s="2"/>
      <c r="I23" s="2"/>
      <c r="J23" s="2"/>
      <c r="K23" s="3"/>
      <c r="L23" s="3"/>
      <c r="M23" s="5"/>
      <c r="N23" s="3"/>
    </row>
    <row r="24" spans="1:14" x14ac:dyDescent="0.2">
      <c r="A24">
        <v>22</v>
      </c>
      <c r="B24" t="s">
        <v>33</v>
      </c>
      <c r="C24" s="3"/>
      <c r="D24" s="2"/>
      <c r="E24" s="3"/>
      <c r="F24" s="3"/>
      <c r="G24" s="3"/>
      <c r="H24" s="3"/>
      <c r="I24" s="3"/>
      <c r="J24" s="2"/>
      <c r="K24" s="3"/>
      <c r="L24" s="3"/>
      <c r="M24" s="2"/>
      <c r="N24" s="2"/>
    </row>
    <row r="25" spans="1:14" x14ac:dyDescent="0.2">
      <c r="A25">
        <v>23</v>
      </c>
      <c r="B25" t="s">
        <v>34</v>
      </c>
      <c r="C25" s="3"/>
      <c r="D25" s="3"/>
      <c r="E25" s="3"/>
      <c r="F25" s="3"/>
      <c r="G25" s="2"/>
      <c r="H25" s="3"/>
      <c r="I25" s="3"/>
      <c r="J25" s="2"/>
      <c r="K25" s="3"/>
      <c r="L25" s="3"/>
      <c r="M25" s="5"/>
      <c r="N25" s="2"/>
    </row>
    <row r="26" spans="1:14" x14ac:dyDescent="0.2">
      <c r="A26">
        <v>24</v>
      </c>
      <c r="B26" t="s">
        <v>35</v>
      </c>
      <c r="C26" s="3"/>
      <c r="D26" s="3"/>
      <c r="E26" s="3"/>
      <c r="F26" s="2"/>
      <c r="G26" s="5"/>
      <c r="H26" s="5"/>
      <c r="I26" s="3"/>
      <c r="J26" s="2"/>
      <c r="K26" s="3"/>
      <c r="L26" s="3"/>
      <c r="M26" s="5"/>
      <c r="N26" s="3"/>
    </row>
    <row r="27" spans="1:14" x14ac:dyDescent="0.2">
      <c r="A27">
        <v>25</v>
      </c>
      <c r="B27" t="s">
        <v>36</v>
      </c>
      <c r="C27" s="3"/>
      <c r="D27" s="5"/>
      <c r="E27" s="2"/>
      <c r="F27" s="2"/>
      <c r="G27" s="3"/>
      <c r="H27" s="2"/>
      <c r="I27" s="3"/>
      <c r="J27" s="2"/>
      <c r="K27" s="2"/>
      <c r="L27" s="2"/>
      <c r="M27" s="2"/>
      <c r="N27" s="3"/>
    </row>
    <row r="28" spans="1:14" x14ac:dyDescent="0.2">
      <c r="A28">
        <v>26</v>
      </c>
      <c r="B28" t="s">
        <v>37</v>
      </c>
      <c r="C28" s="3"/>
      <c r="D28" s="3"/>
      <c r="E28" s="3"/>
      <c r="F28" s="3"/>
      <c r="G28" s="2"/>
      <c r="H28" s="3"/>
      <c r="I28" s="3"/>
      <c r="J28" s="3"/>
      <c r="K28" s="2"/>
      <c r="L28" s="2"/>
      <c r="M28" s="2"/>
      <c r="N28" s="2"/>
    </row>
    <row r="29" spans="1:14" x14ac:dyDescent="0.2">
      <c r="A29">
        <v>27</v>
      </c>
      <c r="B29" t="s">
        <v>38</v>
      </c>
      <c r="C29" s="2"/>
      <c r="D29" s="2"/>
      <c r="E29" s="3"/>
      <c r="F29" s="2"/>
      <c r="G29" s="2"/>
      <c r="H29" s="2"/>
      <c r="I29" s="2"/>
      <c r="J29" s="2"/>
      <c r="K29" s="2"/>
      <c r="L29" s="2"/>
      <c r="M29" s="2"/>
      <c r="N29" s="2"/>
    </row>
    <row r="30" spans="1:14" x14ac:dyDescent="0.2">
      <c r="A30">
        <v>28</v>
      </c>
      <c r="B30" t="s">
        <v>39</v>
      </c>
      <c r="C30" s="3"/>
      <c r="D30" s="3"/>
      <c r="E30" s="3"/>
      <c r="F30" s="2"/>
      <c r="G30" s="3"/>
      <c r="H30" s="2"/>
      <c r="I30" s="3"/>
      <c r="J30" s="3"/>
      <c r="K30" s="2"/>
      <c r="L30" s="2"/>
      <c r="M30" s="3"/>
      <c r="N30" s="2"/>
    </row>
    <row r="31" spans="1:14" x14ac:dyDescent="0.2">
      <c r="A31">
        <v>29</v>
      </c>
      <c r="B31" t="s">
        <v>40</v>
      </c>
      <c r="C31" s="3"/>
      <c r="D31" s="3"/>
      <c r="E31" s="3"/>
      <c r="F31" s="3"/>
      <c r="G31" s="3"/>
      <c r="H31" s="2"/>
      <c r="I31" s="3"/>
      <c r="J31" s="3"/>
      <c r="K31" s="2"/>
      <c r="L31" s="2"/>
      <c r="M31" s="2"/>
      <c r="N31" s="5"/>
    </row>
    <row r="32" spans="1:14" x14ac:dyDescent="0.2">
      <c r="A32">
        <v>30</v>
      </c>
      <c r="B32" t="s">
        <v>41</v>
      </c>
      <c r="C32" s="3"/>
      <c r="D32" s="3"/>
      <c r="E32" s="5"/>
      <c r="F32" s="3"/>
      <c r="G32" s="3"/>
      <c r="H32" s="2"/>
      <c r="I32" s="3"/>
      <c r="J32" s="2"/>
      <c r="K32" s="2"/>
      <c r="L32" s="2"/>
      <c r="M32" s="2"/>
      <c r="N32" s="3"/>
    </row>
    <row r="33" spans="1:14" x14ac:dyDescent="0.2">
      <c r="A33">
        <v>31</v>
      </c>
      <c r="B33" t="s">
        <v>42</v>
      </c>
      <c r="C33" s="5"/>
      <c r="D33" s="2"/>
      <c r="E33" s="3"/>
      <c r="F33" s="3"/>
      <c r="G33" s="3"/>
      <c r="H33" s="2"/>
      <c r="I33" s="23"/>
      <c r="J33" s="2"/>
      <c r="K33" s="3"/>
      <c r="L33" s="2"/>
      <c r="M33" s="3"/>
      <c r="N33" s="2"/>
    </row>
    <row r="34" spans="1:14" x14ac:dyDescent="0.2">
      <c r="A34">
        <v>32</v>
      </c>
      <c r="B34" t="s">
        <v>43</v>
      </c>
      <c r="C34" s="2"/>
      <c r="D34" s="2"/>
      <c r="E34" s="2"/>
      <c r="F34" s="2"/>
      <c r="G34" s="2"/>
      <c r="H34" s="2"/>
      <c r="I34" s="2"/>
      <c r="J34" s="2"/>
      <c r="K34" s="2"/>
      <c r="L34" s="2"/>
      <c r="M34" s="2"/>
      <c r="N34" s="2"/>
    </row>
    <row r="35" spans="1:14" x14ac:dyDescent="0.2">
      <c r="A35">
        <v>33</v>
      </c>
      <c r="B35" t="s">
        <v>44</v>
      </c>
      <c r="C35" s="2"/>
      <c r="D35" s="2"/>
      <c r="E35" s="2"/>
      <c r="F35" s="2"/>
      <c r="G35" s="2"/>
      <c r="H35" s="2"/>
      <c r="I35" s="2"/>
      <c r="J35" s="2"/>
      <c r="K35" s="2"/>
      <c r="L35" s="2"/>
      <c r="M35" s="2"/>
      <c r="N35" s="2"/>
    </row>
    <row r="36" spans="1:14" x14ac:dyDescent="0.2">
      <c r="A36">
        <v>34</v>
      </c>
      <c r="B36" t="s">
        <v>45</v>
      </c>
      <c r="C36" s="2"/>
      <c r="D36" s="2"/>
      <c r="E36" s="2"/>
      <c r="F36" s="2"/>
      <c r="G36" s="2"/>
      <c r="H36" s="2"/>
      <c r="I36" s="2"/>
      <c r="J36" s="2"/>
      <c r="K36" s="2"/>
      <c r="L36" s="2"/>
      <c r="M36" s="2"/>
      <c r="N36" s="2"/>
    </row>
  </sheetData>
  <mergeCells count="13">
    <mergeCell ref="N1:N2"/>
    <mergeCell ref="A1:B2"/>
    <mergeCell ref="I1:I2"/>
    <mergeCell ref="J1:J2"/>
    <mergeCell ref="K1:K2"/>
    <mergeCell ref="L1:L2"/>
    <mergeCell ref="M1:M2"/>
    <mergeCell ref="C1:C2"/>
    <mergeCell ref="D1:D2"/>
    <mergeCell ref="E1:E2"/>
    <mergeCell ref="F1:F2"/>
    <mergeCell ref="G1:G2"/>
    <mergeCell ref="H1:H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E21B-3262-43F1-B9E7-08E969BFF9D7}">
  <dimension ref="A1:T32"/>
  <sheetViews>
    <sheetView workbookViewId="0">
      <selection activeCell="T1" sqref="T1:T1048576"/>
    </sheetView>
  </sheetViews>
  <sheetFormatPr defaultRowHeight="15.75" x14ac:dyDescent="0.2"/>
  <cols>
    <col min="1" max="1" width="8.875" style="26"/>
    <col min="16" max="16" width="17.375" bestFit="1" customWidth="1"/>
  </cols>
  <sheetData>
    <row r="1" spans="1:20" ht="18" x14ac:dyDescent="0.2">
      <c r="B1" s="27" t="s">
        <v>654</v>
      </c>
      <c r="C1" s="27" t="s">
        <v>655</v>
      </c>
      <c r="D1" s="27" t="s">
        <v>656</v>
      </c>
      <c r="E1" s="27" t="s">
        <v>657</v>
      </c>
      <c r="F1" s="27" t="s">
        <v>658</v>
      </c>
      <c r="G1" s="27" t="s">
        <v>659</v>
      </c>
      <c r="H1" s="27" t="s">
        <v>660</v>
      </c>
      <c r="I1" s="27" t="s">
        <v>661</v>
      </c>
      <c r="J1" s="27" t="s">
        <v>662</v>
      </c>
      <c r="K1" s="27" t="s">
        <v>663</v>
      </c>
      <c r="L1" s="27" t="s">
        <v>664</v>
      </c>
      <c r="M1" s="27" t="s">
        <v>665</v>
      </c>
      <c r="O1">
        <v>12</v>
      </c>
      <c r="P1" s="25" t="s">
        <v>677</v>
      </c>
      <c r="R1" t="s">
        <v>12</v>
      </c>
      <c r="S1">
        <v>1</v>
      </c>
      <c r="T1">
        <v>1</v>
      </c>
    </row>
    <row r="2" spans="1:20" x14ac:dyDescent="0.2">
      <c r="A2" s="26">
        <v>1</v>
      </c>
      <c r="B2" s="3"/>
      <c r="C2" s="2"/>
      <c r="D2" s="2"/>
      <c r="E2" s="2"/>
      <c r="F2" s="3"/>
      <c r="G2" s="2"/>
      <c r="H2" s="2"/>
      <c r="I2" s="2"/>
      <c r="J2" s="2"/>
      <c r="K2" s="2"/>
      <c r="L2" s="5"/>
      <c r="M2" s="3"/>
      <c r="O2">
        <v>1</v>
      </c>
      <c r="P2" s="25" t="s">
        <v>666</v>
      </c>
      <c r="R2" t="s">
        <v>13</v>
      </c>
      <c r="S2">
        <v>2</v>
      </c>
      <c r="T2">
        <v>2</v>
      </c>
    </row>
    <row r="3" spans="1:20" x14ac:dyDescent="0.2">
      <c r="A3" s="26">
        <v>2</v>
      </c>
      <c r="B3" s="3"/>
      <c r="C3" s="2"/>
      <c r="D3" s="3"/>
      <c r="E3" s="3"/>
      <c r="F3" s="3"/>
      <c r="G3" s="2"/>
      <c r="H3" s="3"/>
      <c r="I3" s="2"/>
      <c r="J3" s="2"/>
      <c r="K3" s="2"/>
      <c r="L3" s="3"/>
      <c r="M3" s="3"/>
      <c r="O3">
        <v>13</v>
      </c>
      <c r="P3" s="25" t="s">
        <v>678</v>
      </c>
      <c r="R3" t="s">
        <v>16</v>
      </c>
      <c r="S3">
        <v>5</v>
      </c>
      <c r="T3">
        <v>3</v>
      </c>
    </row>
    <row r="4" spans="1:20" x14ac:dyDescent="0.2">
      <c r="A4" s="26">
        <v>3</v>
      </c>
      <c r="B4" s="3"/>
      <c r="C4" s="3"/>
      <c r="D4" s="3"/>
      <c r="E4" s="3"/>
      <c r="F4" s="3"/>
      <c r="G4" s="3"/>
      <c r="H4" s="3"/>
      <c r="I4" s="2"/>
      <c r="J4" s="2"/>
      <c r="K4" s="2"/>
      <c r="L4" s="3"/>
      <c r="M4" s="3"/>
      <c r="O4">
        <v>28</v>
      </c>
      <c r="P4" s="25" t="s">
        <v>693</v>
      </c>
      <c r="R4" t="s">
        <v>17</v>
      </c>
      <c r="S4">
        <v>6</v>
      </c>
      <c r="T4">
        <v>4</v>
      </c>
    </row>
    <row r="5" spans="1:20" x14ac:dyDescent="0.2">
      <c r="A5" s="26">
        <v>4</v>
      </c>
      <c r="B5" s="3"/>
      <c r="C5" s="3"/>
      <c r="D5" s="3"/>
      <c r="E5" s="3"/>
      <c r="F5" s="3"/>
      <c r="G5" s="3"/>
      <c r="H5" s="3"/>
      <c r="I5" s="3"/>
      <c r="J5" s="2"/>
      <c r="K5" s="2"/>
      <c r="L5" s="2"/>
      <c r="M5" s="2"/>
      <c r="O5">
        <v>19</v>
      </c>
      <c r="P5" s="25" t="s">
        <v>684</v>
      </c>
      <c r="R5" t="s">
        <v>39</v>
      </c>
      <c r="S5">
        <v>28</v>
      </c>
      <c r="T5">
        <v>5</v>
      </c>
    </row>
    <row r="6" spans="1:20" x14ac:dyDescent="0.2">
      <c r="A6" s="26">
        <v>5</v>
      </c>
      <c r="B6" s="3"/>
      <c r="C6" s="3"/>
      <c r="D6" s="3"/>
      <c r="E6" s="2"/>
      <c r="F6" s="3"/>
      <c r="G6" s="2"/>
      <c r="H6" s="3"/>
      <c r="I6" s="3"/>
      <c r="J6" s="2"/>
      <c r="K6" s="2"/>
      <c r="L6" s="3"/>
      <c r="M6" s="2"/>
      <c r="O6">
        <v>20</v>
      </c>
      <c r="P6" s="25" t="s">
        <v>685</v>
      </c>
      <c r="R6" t="s">
        <v>18</v>
      </c>
      <c r="S6">
        <v>7</v>
      </c>
      <c r="T6">
        <v>6</v>
      </c>
    </row>
    <row r="7" spans="1:20" x14ac:dyDescent="0.2">
      <c r="A7" s="26">
        <v>6</v>
      </c>
      <c r="B7" s="3"/>
      <c r="C7" s="2"/>
      <c r="D7" s="2"/>
      <c r="E7" s="3"/>
      <c r="F7" s="3"/>
      <c r="G7" s="2"/>
      <c r="H7" s="3"/>
      <c r="I7" s="2"/>
      <c r="J7" s="2"/>
      <c r="K7" s="2"/>
      <c r="L7" s="5"/>
      <c r="M7" s="3"/>
      <c r="O7">
        <v>24</v>
      </c>
      <c r="P7" s="25" t="s">
        <v>689</v>
      </c>
      <c r="R7" t="s">
        <v>19</v>
      </c>
      <c r="S7">
        <v>8</v>
      </c>
      <c r="T7">
        <v>7</v>
      </c>
    </row>
    <row r="8" spans="1:20" x14ac:dyDescent="0.2">
      <c r="A8" s="26">
        <v>7</v>
      </c>
      <c r="B8" s="3"/>
      <c r="C8" s="3"/>
      <c r="D8" s="3"/>
      <c r="E8" s="3"/>
      <c r="F8" s="3"/>
      <c r="G8" s="2"/>
      <c r="H8" s="3"/>
      <c r="I8" s="2"/>
      <c r="J8" s="2"/>
      <c r="K8" s="2"/>
      <c r="L8" s="2"/>
      <c r="M8" s="3"/>
      <c r="O8">
        <v>21</v>
      </c>
      <c r="P8" s="25" t="s">
        <v>686</v>
      </c>
      <c r="R8" t="s">
        <v>20</v>
      </c>
      <c r="S8">
        <v>9</v>
      </c>
      <c r="T8">
        <v>8</v>
      </c>
    </row>
    <row r="9" spans="1:20" x14ac:dyDescent="0.2">
      <c r="A9" s="26">
        <v>8</v>
      </c>
      <c r="B9" s="5"/>
      <c r="C9" s="5"/>
      <c r="D9" s="3"/>
      <c r="E9" s="3"/>
      <c r="F9" s="3"/>
      <c r="G9" s="2"/>
      <c r="H9" s="3"/>
      <c r="I9" s="2"/>
      <c r="J9" s="2"/>
      <c r="K9" s="2"/>
      <c r="L9" s="5"/>
      <c r="M9" s="2"/>
      <c r="O9">
        <v>3</v>
      </c>
      <c r="P9" s="25" t="s">
        <v>668</v>
      </c>
      <c r="R9" t="s">
        <v>14</v>
      </c>
      <c r="S9">
        <v>3</v>
      </c>
      <c r="T9">
        <v>9</v>
      </c>
    </row>
    <row r="10" spans="1:20" x14ac:dyDescent="0.2">
      <c r="A10" s="26">
        <v>9</v>
      </c>
      <c r="B10" s="3"/>
      <c r="C10" s="3"/>
      <c r="D10" s="3"/>
      <c r="E10" s="3"/>
      <c r="F10" s="3"/>
      <c r="G10" s="2"/>
      <c r="H10" s="3"/>
      <c r="I10" s="2"/>
      <c r="J10" s="2"/>
      <c r="K10" s="2"/>
      <c r="L10" s="3"/>
      <c r="M10" s="3"/>
      <c r="O10">
        <v>16</v>
      </c>
      <c r="P10" s="25" t="s">
        <v>681</v>
      </c>
      <c r="R10" t="s">
        <v>21</v>
      </c>
      <c r="S10">
        <v>10</v>
      </c>
      <c r="T10">
        <v>10</v>
      </c>
    </row>
    <row r="11" spans="1:20" x14ac:dyDescent="0.2">
      <c r="A11" s="26">
        <v>10</v>
      </c>
      <c r="B11" s="3"/>
      <c r="C11" s="3"/>
      <c r="D11" s="3"/>
      <c r="E11" s="3"/>
      <c r="F11" s="3"/>
      <c r="G11" s="3"/>
      <c r="H11" s="3"/>
      <c r="I11" s="2"/>
      <c r="J11" s="2"/>
      <c r="K11" s="2"/>
      <c r="L11" s="2"/>
      <c r="M11" s="3"/>
      <c r="O11">
        <v>8</v>
      </c>
      <c r="P11" s="25" t="s">
        <v>673</v>
      </c>
      <c r="R11" t="s">
        <v>22</v>
      </c>
      <c r="S11">
        <v>11</v>
      </c>
      <c r="T11">
        <v>11</v>
      </c>
    </row>
    <row r="12" spans="1:20" x14ac:dyDescent="0.2">
      <c r="A12" s="26">
        <v>11</v>
      </c>
      <c r="B12" s="2"/>
      <c r="C12" s="3"/>
      <c r="D12" s="3"/>
      <c r="E12" s="2"/>
      <c r="F12" s="3"/>
      <c r="G12" s="2"/>
      <c r="H12" s="3"/>
      <c r="I12" s="3"/>
      <c r="J12" s="2"/>
      <c r="K12" s="3"/>
      <c r="L12" s="2"/>
      <c r="M12" s="3"/>
      <c r="O12">
        <v>17</v>
      </c>
      <c r="P12" s="25" t="s">
        <v>682</v>
      </c>
      <c r="R12" t="s">
        <v>23</v>
      </c>
      <c r="S12">
        <v>12</v>
      </c>
      <c r="T12">
        <v>12</v>
      </c>
    </row>
    <row r="13" spans="1:20" x14ac:dyDescent="0.2">
      <c r="A13" s="26">
        <v>12</v>
      </c>
      <c r="B13" s="3"/>
      <c r="C13" s="3"/>
      <c r="D13" s="3"/>
      <c r="E13" s="3"/>
      <c r="F13" s="5"/>
      <c r="G13" s="2"/>
      <c r="H13" s="2"/>
      <c r="I13" s="2"/>
      <c r="J13" s="2"/>
      <c r="K13" s="2"/>
      <c r="L13" s="5"/>
      <c r="M13" s="3"/>
      <c r="O13">
        <v>18</v>
      </c>
      <c r="P13" s="25" t="s">
        <v>683</v>
      </c>
      <c r="R13" t="s">
        <v>24</v>
      </c>
      <c r="S13">
        <v>13</v>
      </c>
      <c r="T13">
        <v>13</v>
      </c>
    </row>
    <row r="14" spans="1:20" x14ac:dyDescent="0.2">
      <c r="A14" s="26">
        <v>13</v>
      </c>
      <c r="B14" s="2"/>
      <c r="C14" s="3"/>
      <c r="D14" s="3"/>
      <c r="E14" s="3"/>
      <c r="F14" s="3"/>
      <c r="G14" s="3"/>
      <c r="H14" s="3"/>
      <c r="I14" s="3"/>
      <c r="J14" s="3"/>
      <c r="K14" s="3"/>
      <c r="L14" s="5"/>
      <c r="M14" s="3"/>
      <c r="O14">
        <v>7</v>
      </c>
      <c r="P14" s="25" t="s">
        <v>672</v>
      </c>
      <c r="R14" t="s">
        <v>25</v>
      </c>
      <c r="S14">
        <v>14</v>
      </c>
      <c r="T14">
        <v>14</v>
      </c>
    </row>
    <row r="15" spans="1:20" x14ac:dyDescent="0.2">
      <c r="A15" s="26">
        <v>14</v>
      </c>
      <c r="B15" s="3"/>
      <c r="C15" s="3"/>
      <c r="D15" s="3"/>
      <c r="E15" s="3"/>
      <c r="F15" s="3"/>
      <c r="G15" s="2"/>
      <c r="H15" s="3"/>
      <c r="I15" s="2"/>
      <c r="J15" s="3"/>
      <c r="K15" s="3"/>
      <c r="L15" s="3"/>
      <c r="M15" s="2"/>
      <c r="O15">
        <v>10</v>
      </c>
      <c r="P15" s="25" t="s">
        <v>675</v>
      </c>
      <c r="R15" t="s">
        <v>26</v>
      </c>
      <c r="S15">
        <v>15</v>
      </c>
      <c r="T15">
        <v>15</v>
      </c>
    </row>
    <row r="16" spans="1:20" x14ac:dyDescent="0.2">
      <c r="A16" s="26">
        <v>15</v>
      </c>
      <c r="B16" s="3"/>
      <c r="C16" s="3"/>
      <c r="D16" s="3"/>
      <c r="E16" s="3"/>
      <c r="F16" s="3"/>
      <c r="G16" s="2"/>
      <c r="H16" s="3"/>
      <c r="I16" s="2"/>
      <c r="J16" s="2"/>
      <c r="K16" s="3"/>
      <c r="L16" s="3"/>
      <c r="M16" s="3"/>
      <c r="O16">
        <v>14</v>
      </c>
      <c r="P16" s="25" t="s">
        <v>679</v>
      </c>
      <c r="R16" t="s">
        <v>27</v>
      </c>
      <c r="S16">
        <v>16</v>
      </c>
      <c r="T16">
        <v>16</v>
      </c>
    </row>
    <row r="17" spans="1:20" x14ac:dyDescent="0.2">
      <c r="A17" s="26">
        <v>16</v>
      </c>
      <c r="B17" s="3"/>
      <c r="C17" s="2"/>
      <c r="D17" s="3"/>
      <c r="E17" s="3"/>
      <c r="F17" s="3"/>
      <c r="G17" s="2"/>
      <c r="H17" s="3"/>
      <c r="I17" s="2"/>
      <c r="J17" s="5"/>
      <c r="K17" s="3"/>
      <c r="L17" s="2"/>
      <c r="M17" s="3"/>
      <c r="O17">
        <v>6</v>
      </c>
      <c r="P17" s="25" t="s">
        <v>671</v>
      </c>
      <c r="R17" t="s">
        <v>28</v>
      </c>
      <c r="S17">
        <v>17</v>
      </c>
      <c r="T17">
        <v>17</v>
      </c>
    </row>
    <row r="18" spans="1:20" x14ac:dyDescent="0.2">
      <c r="A18" s="26">
        <v>17</v>
      </c>
      <c r="B18" s="2"/>
      <c r="C18" s="5"/>
      <c r="D18" s="2"/>
      <c r="E18" s="3"/>
      <c r="F18" s="3"/>
      <c r="G18" s="2"/>
      <c r="H18" s="3"/>
      <c r="I18" s="2"/>
      <c r="J18" s="2"/>
      <c r="K18" s="2"/>
      <c r="L18" s="2"/>
      <c r="M18" s="2"/>
      <c r="O18">
        <v>5</v>
      </c>
      <c r="P18" s="25" t="s">
        <v>670</v>
      </c>
      <c r="R18" t="s">
        <v>29</v>
      </c>
      <c r="S18">
        <v>18</v>
      </c>
      <c r="T18">
        <v>18</v>
      </c>
    </row>
    <row r="19" spans="1:20" x14ac:dyDescent="0.2">
      <c r="A19" s="26">
        <v>18</v>
      </c>
      <c r="B19" s="3"/>
      <c r="C19" s="3"/>
      <c r="D19" s="3"/>
      <c r="E19" s="3"/>
      <c r="F19" s="3"/>
      <c r="G19" s="3"/>
      <c r="H19" s="2"/>
      <c r="I19" s="3"/>
      <c r="J19" s="3"/>
      <c r="K19" s="3"/>
      <c r="L19" s="3"/>
      <c r="M19" s="3"/>
      <c r="O19">
        <v>30</v>
      </c>
      <c r="P19" s="25" t="s">
        <v>695</v>
      </c>
      <c r="R19" t="s">
        <v>30</v>
      </c>
      <c r="S19">
        <v>19</v>
      </c>
      <c r="T19">
        <v>19</v>
      </c>
    </row>
    <row r="20" spans="1:20" x14ac:dyDescent="0.2">
      <c r="A20" s="26">
        <v>19</v>
      </c>
      <c r="B20" s="3"/>
      <c r="C20" s="3"/>
      <c r="D20" s="2"/>
      <c r="E20" s="3"/>
      <c r="F20" s="3"/>
      <c r="G20" s="2"/>
      <c r="H20" s="3"/>
      <c r="I20" s="2"/>
      <c r="J20" s="2"/>
      <c r="K20" s="2"/>
      <c r="L20" s="2"/>
      <c r="M20" s="2"/>
      <c r="O20">
        <v>29</v>
      </c>
      <c r="P20" s="25" t="s">
        <v>694</v>
      </c>
      <c r="R20" t="s">
        <v>40</v>
      </c>
      <c r="S20">
        <v>29</v>
      </c>
      <c r="T20">
        <v>20</v>
      </c>
    </row>
    <row r="21" spans="1:20" x14ac:dyDescent="0.2">
      <c r="A21" s="26">
        <v>20</v>
      </c>
      <c r="B21" s="3"/>
      <c r="C21" s="3"/>
      <c r="D21" s="3"/>
      <c r="E21" s="3"/>
      <c r="F21" s="3"/>
      <c r="G21" s="2"/>
      <c r="H21" s="3"/>
      <c r="I21" s="3"/>
      <c r="J21" s="2"/>
      <c r="K21" s="2"/>
      <c r="L21" s="2"/>
      <c r="M21" s="5"/>
      <c r="O21">
        <v>15</v>
      </c>
      <c r="P21" s="25" t="s">
        <v>680</v>
      </c>
      <c r="R21" t="s">
        <v>31</v>
      </c>
      <c r="S21">
        <v>20</v>
      </c>
      <c r="T21">
        <v>21</v>
      </c>
    </row>
    <row r="22" spans="1:20" x14ac:dyDescent="0.2">
      <c r="A22" s="26">
        <v>21</v>
      </c>
      <c r="B22" s="3"/>
      <c r="C22" s="2"/>
      <c r="D22" s="2"/>
      <c r="E22" s="2"/>
      <c r="F22" s="2"/>
      <c r="G22" s="2"/>
      <c r="H22" s="3"/>
      <c r="I22" s="2"/>
      <c r="J22" s="2"/>
      <c r="K22" s="2"/>
      <c r="L22" s="2"/>
      <c r="M22" s="3"/>
      <c r="O22">
        <v>4</v>
      </c>
      <c r="P22" s="25" t="s">
        <v>669</v>
      </c>
      <c r="R22" t="s">
        <v>15</v>
      </c>
      <c r="S22">
        <v>4</v>
      </c>
      <c r="T22">
        <v>22</v>
      </c>
    </row>
    <row r="23" spans="1:20" x14ac:dyDescent="0.2">
      <c r="A23" s="26">
        <v>22</v>
      </c>
      <c r="B23" s="2"/>
      <c r="C23" s="3"/>
      <c r="D23" s="3"/>
      <c r="E23" s="3"/>
      <c r="F23" s="3"/>
      <c r="G23" s="3"/>
      <c r="H23" s="3"/>
      <c r="I23" s="2"/>
      <c r="J23" s="2"/>
      <c r="K23" s="2"/>
      <c r="L23" s="5"/>
      <c r="M23" s="2"/>
      <c r="O23">
        <v>27</v>
      </c>
      <c r="P23" s="25" t="s">
        <v>692</v>
      </c>
      <c r="R23" t="s">
        <v>32</v>
      </c>
      <c r="S23">
        <v>21</v>
      </c>
      <c r="T23">
        <v>23</v>
      </c>
    </row>
    <row r="24" spans="1:20" x14ac:dyDescent="0.2">
      <c r="A24" s="26">
        <v>23</v>
      </c>
      <c r="B24" s="3"/>
      <c r="C24" s="3"/>
      <c r="D24" s="3"/>
      <c r="E24" s="3"/>
      <c r="F24" s="3"/>
      <c r="G24" s="2"/>
      <c r="H24" s="2"/>
      <c r="I24" s="2"/>
      <c r="J24" s="3"/>
      <c r="K24" s="3"/>
      <c r="L24" s="5"/>
      <c r="M24" s="3"/>
      <c r="O24">
        <v>9</v>
      </c>
      <c r="P24" s="25" t="s">
        <v>674</v>
      </c>
      <c r="R24" t="s">
        <v>33</v>
      </c>
      <c r="S24">
        <v>22</v>
      </c>
      <c r="T24">
        <v>24</v>
      </c>
    </row>
    <row r="25" spans="1:20" x14ac:dyDescent="0.2">
      <c r="A25" s="26">
        <v>24</v>
      </c>
      <c r="B25" s="3"/>
      <c r="C25" s="2"/>
      <c r="D25" s="3"/>
      <c r="E25" s="3"/>
      <c r="F25" s="3"/>
      <c r="G25" s="3"/>
      <c r="H25" s="3"/>
      <c r="I25" s="2"/>
      <c r="J25" s="3"/>
      <c r="K25" s="3"/>
      <c r="L25" s="2"/>
      <c r="M25" s="2"/>
      <c r="O25">
        <v>23</v>
      </c>
      <c r="P25" s="25" t="s">
        <v>688</v>
      </c>
      <c r="R25" t="s">
        <v>34</v>
      </c>
      <c r="S25">
        <v>23</v>
      </c>
      <c r="T25">
        <v>25</v>
      </c>
    </row>
    <row r="26" spans="1:20" x14ac:dyDescent="0.2">
      <c r="A26" s="26">
        <v>25</v>
      </c>
      <c r="B26" s="3"/>
      <c r="C26" s="3"/>
      <c r="D26" s="3"/>
      <c r="E26" s="3"/>
      <c r="F26" s="2"/>
      <c r="G26" s="3"/>
      <c r="H26" s="3"/>
      <c r="I26" s="2"/>
      <c r="J26" s="3"/>
      <c r="K26" s="3"/>
      <c r="L26" s="5"/>
      <c r="M26" s="2"/>
      <c r="O26">
        <v>2</v>
      </c>
      <c r="P26" s="25" t="s">
        <v>667</v>
      </c>
      <c r="R26" t="s">
        <v>38</v>
      </c>
      <c r="S26">
        <v>27</v>
      </c>
      <c r="T26">
        <v>26</v>
      </c>
    </row>
    <row r="27" spans="1:20" x14ac:dyDescent="0.2">
      <c r="A27" s="26">
        <v>26</v>
      </c>
      <c r="B27" s="2"/>
      <c r="C27" s="2"/>
      <c r="D27" s="3"/>
      <c r="E27" s="2"/>
      <c r="F27" s="2"/>
      <c r="G27" s="2"/>
      <c r="H27" s="2"/>
      <c r="I27" s="2"/>
      <c r="J27" s="2"/>
      <c r="K27" s="2"/>
      <c r="L27" s="2"/>
      <c r="M27" s="2"/>
      <c r="O27">
        <v>26</v>
      </c>
      <c r="P27" s="25" t="s">
        <v>691</v>
      </c>
      <c r="R27" t="s">
        <v>35</v>
      </c>
      <c r="S27">
        <v>24</v>
      </c>
      <c r="T27">
        <v>27</v>
      </c>
    </row>
    <row r="28" spans="1:20" x14ac:dyDescent="0.2">
      <c r="A28" s="26">
        <v>27</v>
      </c>
      <c r="B28" s="3"/>
      <c r="C28" s="3"/>
      <c r="D28" s="3"/>
      <c r="E28" s="2"/>
      <c r="F28" s="5"/>
      <c r="G28" s="5"/>
      <c r="H28" s="3"/>
      <c r="I28" s="2"/>
      <c r="J28" s="3"/>
      <c r="K28" s="3"/>
      <c r="L28" s="5"/>
      <c r="M28" s="3"/>
      <c r="O28">
        <v>31</v>
      </c>
      <c r="P28" s="25" t="s">
        <v>696</v>
      </c>
      <c r="R28" t="s">
        <v>36</v>
      </c>
      <c r="S28">
        <v>25</v>
      </c>
      <c r="T28">
        <v>28</v>
      </c>
    </row>
    <row r="29" spans="1:20" x14ac:dyDescent="0.2">
      <c r="A29" s="26">
        <v>28</v>
      </c>
      <c r="B29" s="3"/>
      <c r="C29" s="5"/>
      <c r="D29" s="2"/>
      <c r="E29" s="2"/>
      <c r="F29" s="3"/>
      <c r="G29" s="2"/>
      <c r="H29" s="3"/>
      <c r="I29" s="2"/>
      <c r="J29" s="2"/>
      <c r="K29" s="2"/>
      <c r="L29" s="2"/>
      <c r="M29" s="3"/>
      <c r="O29">
        <v>25</v>
      </c>
      <c r="P29" s="25" t="s">
        <v>690</v>
      </c>
      <c r="R29" t="s">
        <v>37</v>
      </c>
      <c r="S29">
        <v>26</v>
      </c>
      <c r="T29">
        <v>29</v>
      </c>
    </row>
    <row r="30" spans="1:20" x14ac:dyDescent="0.2">
      <c r="A30" s="26">
        <v>29</v>
      </c>
      <c r="B30" s="3"/>
      <c r="C30" s="3"/>
      <c r="D30" s="3"/>
      <c r="E30" s="3"/>
      <c r="F30" s="2"/>
      <c r="G30" s="3"/>
      <c r="H30" s="3"/>
      <c r="I30" s="3"/>
      <c r="J30" s="2"/>
      <c r="K30" s="2"/>
      <c r="L30" s="2"/>
      <c r="M30" s="2"/>
      <c r="O30">
        <v>11</v>
      </c>
      <c r="P30" s="25" t="s">
        <v>676</v>
      </c>
      <c r="R30" t="s">
        <v>41</v>
      </c>
      <c r="S30">
        <v>30</v>
      </c>
      <c r="T30">
        <v>30</v>
      </c>
    </row>
    <row r="31" spans="1:20" x14ac:dyDescent="0.2">
      <c r="A31" s="26">
        <v>30</v>
      </c>
      <c r="B31" s="3"/>
      <c r="C31" s="3"/>
      <c r="D31" s="5"/>
      <c r="E31" s="3"/>
      <c r="F31" s="3"/>
      <c r="G31" s="2"/>
      <c r="H31" s="3"/>
      <c r="I31" s="2"/>
      <c r="J31" s="2"/>
      <c r="K31" s="2"/>
      <c r="L31" s="2"/>
      <c r="M31" s="3"/>
      <c r="O31">
        <v>22</v>
      </c>
      <c r="P31" s="25" t="s">
        <v>687</v>
      </c>
      <c r="R31" t="s">
        <v>42</v>
      </c>
      <c r="S31">
        <v>31</v>
      </c>
      <c r="T31">
        <v>31</v>
      </c>
    </row>
    <row r="32" spans="1:20" x14ac:dyDescent="0.2">
      <c r="A32" s="26">
        <v>31</v>
      </c>
      <c r="B32" s="5"/>
      <c r="C32" s="2"/>
      <c r="D32" s="3"/>
      <c r="E32" s="3"/>
      <c r="F32" s="3"/>
      <c r="G32" s="2"/>
      <c r="H32" s="23"/>
      <c r="I32" s="2"/>
      <c r="J32" s="2"/>
      <c r="K32" s="3"/>
      <c r="L32" s="3"/>
      <c r="M32" s="2"/>
    </row>
  </sheetData>
  <sortState xmlns:xlrd2="http://schemas.microsoft.com/office/spreadsheetml/2017/richdata2" ref="R1:T32">
    <sortCondition ref="T1:T32"/>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94475-20F7-4F31-8932-F6E25F14DC7E}">
  <dimension ref="A1:V214"/>
  <sheetViews>
    <sheetView topLeftCell="C1" workbookViewId="0">
      <selection activeCell="D37" sqref="D37:G39"/>
    </sheetView>
  </sheetViews>
  <sheetFormatPr defaultRowHeight="14.25" x14ac:dyDescent="0.2"/>
  <cols>
    <col min="2" max="2" width="81.875" bestFit="1" customWidth="1"/>
    <col min="3" max="3" width="17.75" bestFit="1" customWidth="1"/>
    <col min="7" max="7" width="10.125" bestFit="1" customWidth="1"/>
    <col min="9" max="9" width="10.125" bestFit="1" customWidth="1"/>
  </cols>
  <sheetData>
    <row r="1" spans="1:22" x14ac:dyDescent="0.2">
      <c r="A1" s="4" t="s">
        <v>46</v>
      </c>
      <c r="B1" s="4" t="s">
        <v>47</v>
      </c>
      <c r="C1" s="8" t="s">
        <v>48</v>
      </c>
      <c r="D1" s="4" t="s">
        <v>184</v>
      </c>
      <c r="E1" s="4"/>
      <c r="J1" t="s">
        <v>654</v>
      </c>
      <c r="K1" t="s">
        <v>655</v>
      </c>
      <c r="L1" t="s">
        <v>656</v>
      </c>
      <c r="M1" t="s">
        <v>657</v>
      </c>
      <c r="N1" t="s">
        <v>658</v>
      </c>
      <c r="O1" t="s">
        <v>659</v>
      </c>
      <c r="P1" t="s">
        <v>660</v>
      </c>
      <c r="Q1" t="s">
        <v>661</v>
      </c>
      <c r="R1" t="s">
        <v>662</v>
      </c>
      <c r="S1" t="s">
        <v>663</v>
      </c>
      <c r="T1" t="s">
        <v>664</v>
      </c>
      <c r="U1" t="s">
        <v>665</v>
      </c>
    </row>
    <row r="2" spans="1:22" x14ac:dyDescent="0.2">
      <c r="A2" s="1" t="s">
        <v>50</v>
      </c>
      <c r="B2" s="1" t="s">
        <v>51</v>
      </c>
      <c r="C2" s="6">
        <v>44493</v>
      </c>
      <c r="D2" s="1" t="s">
        <v>654</v>
      </c>
      <c r="I2" s="6">
        <v>44228</v>
      </c>
      <c r="J2">
        <f>COUNTIFS($C$2:$C$214, "&gt;="&amp;$I2,$C$2:$C$214, "&lt;"&amp;$I3,$D$2:$D$214,J$1)</f>
        <v>0</v>
      </c>
      <c r="K2">
        <f t="shared" ref="K2:U17" si="0">COUNTIFS($C$2:$C$214, "&gt;="&amp;$I2,$C$2:$C$214, "&lt;"&amp;$I3,$D$2:$D$214,K$1)</f>
        <v>0</v>
      </c>
      <c r="L2">
        <f t="shared" si="0"/>
        <v>0</v>
      </c>
      <c r="M2">
        <f t="shared" si="0"/>
        <v>0</v>
      </c>
      <c r="N2">
        <f t="shared" si="0"/>
        <v>0</v>
      </c>
      <c r="O2">
        <f t="shared" si="0"/>
        <v>0</v>
      </c>
      <c r="P2">
        <f t="shared" si="0"/>
        <v>1</v>
      </c>
      <c r="Q2">
        <f t="shared" si="0"/>
        <v>0</v>
      </c>
      <c r="R2">
        <f t="shared" si="0"/>
        <v>0</v>
      </c>
      <c r="S2">
        <f t="shared" si="0"/>
        <v>0</v>
      </c>
      <c r="T2">
        <f t="shared" si="0"/>
        <v>0</v>
      </c>
      <c r="U2">
        <f t="shared" si="0"/>
        <v>0</v>
      </c>
      <c r="V2">
        <f>SUM(J2:U2)</f>
        <v>1</v>
      </c>
    </row>
    <row r="3" spans="1:22" x14ac:dyDescent="0.2">
      <c r="A3" s="1" t="s">
        <v>12</v>
      </c>
      <c r="B3" s="1" t="s">
        <v>52</v>
      </c>
      <c r="C3" s="6">
        <v>44845</v>
      </c>
      <c r="D3" s="1" t="s">
        <v>654</v>
      </c>
      <c r="I3" s="6">
        <v>44256</v>
      </c>
      <c r="J3">
        <f t="shared" ref="J3:J44" si="1">COUNTIFS($C$2:$C$214, "&gt;="&amp;$I3,$C$2:$C$214, "&lt;"&amp;$I4,$D$2:$D$214,J$1)</f>
        <v>0</v>
      </c>
      <c r="K3">
        <f t="shared" si="0"/>
        <v>0</v>
      </c>
      <c r="L3">
        <f t="shared" si="0"/>
        <v>0</v>
      </c>
      <c r="M3">
        <f t="shared" si="0"/>
        <v>0</v>
      </c>
      <c r="N3">
        <f t="shared" si="0"/>
        <v>0</v>
      </c>
      <c r="O3">
        <f t="shared" si="0"/>
        <v>0</v>
      </c>
      <c r="P3">
        <f t="shared" si="0"/>
        <v>0</v>
      </c>
      <c r="Q3">
        <f t="shared" si="0"/>
        <v>0</v>
      </c>
      <c r="R3">
        <f t="shared" si="0"/>
        <v>0</v>
      </c>
      <c r="S3">
        <f t="shared" si="0"/>
        <v>0</v>
      </c>
      <c r="T3">
        <f t="shared" si="0"/>
        <v>0</v>
      </c>
      <c r="U3">
        <f t="shared" si="0"/>
        <v>0</v>
      </c>
      <c r="V3">
        <f t="shared" ref="V3:V45" si="2">SUM(J3:U3)</f>
        <v>0</v>
      </c>
    </row>
    <row r="4" spans="1:22" x14ac:dyDescent="0.2">
      <c r="A4" s="1" t="s">
        <v>13</v>
      </c>
      <c r="B4" s="1" t="s">
        <v>53</v>
      </c>
      <c r="C4" s="6">
        <v>44798</v>
      </c>
      <c r="D4" s="1" t="s">
        <v>654</v>
      </c>
      <c r="I4" s="6">
        <v>44287</v>
      </c>
      <c r="J4">
        <f t="shared" si="1"/>
        <v>0</v>
      </c>
      <c r="K4">
        <f t="shared" si="0"/>
        <v>0</v>
      </c>
      <c r="L4">
        <f t="shared" si="0"/>
        <v>0</v>
      </c>
      <c r="M4">
        <f t="shared" si="0"/>
        <v>0</v>
      </c>
      <c r="N4">
        <f t="shared" si="0"/>
        <v>0</v>
      </c>
      <c r="O4">
        <f t="shared" si="0"/>
        <v>0</v>
      </c>
      <c r="P4">
        <f t="shared" si="0"/>
        <v>1</v>
      </c>
      <c r="Q4">
        <f t="shared" si="0"/>
        <v>0</v>
      </c>
      <c r="R4">
        <f t="shared" si="0"/>
        <v>0</v>
      </c>
      <c r="S4">
        <f t="shared" si="0"/>
        <v>0</v>
      </c>
      <c r="T4">
        <f t="shared" si="0"/>
        <v>0</v>
      </c>
      <c r="U4">
        <f t="shared" si="0"/>
        <v>0</v>
      </c>
      <c r="V4">
        <f t="shared" si="2"/>
        <v>1</v>
      </c>
    </row>
    <row r="5" spans="1:22" x14ac:dyDescent="0.2">
      <c r="A5" s="1" t="s">
        <v>14</v>
      </c>
      <c r="B5" s="1" t="s">
        <v>55</v>
      </c>
      <c r="C5" s="6">
        <v>44750</v>
      </c>
      <c r="D5" s="1" t="s">
        <v>654</v>
      </c>
      <c r="I5" s="6">
        <v>44317</v>
      </c>
      <c r="J5">
        <f t="shared" si="1"/>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2"/>
        <v>0</v>
      </c>
    </row>
    <row r="6" spans="1:22" x14ac:dyDescent="0.2">
      <c r="A6" s="1" t="s">
        <v>16</v>
      </c>
      <c r="B6" s="1" t="s">
        <v>56</v>
      </c>
      <c r="C6" s="6">
        <v>44731</v>
      </c>
      <c r="D6" s="1" t="s">
        <v>654</v>
      </c>
      <c r="I6" s="6">
        <v>44348</v>
      </c>
      <c r="J6">
        <f t="shared" si="1"/>
        <v>0</v>
      </c>
      <c r="K6">
        <f t="shared" si="0"/>
        <v>0</v>
      </c>
      <c r="L6">
        <f t="shared" si="0"/>
        <v>0</v>
      </c>
      <c r="M6">
        <f t="shared" si="0"/>
        <v>0</v>
      </c>
      <c r="N6">
        <f t="shared" si="0"/>
        <v>0</v>
      </c>
      <c r="O6">
        <f t="shared" si="0"/>
        <v>0</v>
      </c>
      <c r="P6">
        <f t="shared" si="0"/>
        <v>0</v>
      </c>
      <c r="Q6">
        <f t="shared" si="0"/>
        <v>0</v>
      </c>
      <c r="R6">
        <f t="shared" si="0"/>
        <v>0</v>
      </c>
      <c r="S6">
        <f t="shared" si="0"/>
        <v>0</v>
      </c>
      <c r="T6">
        <f t="shared" si="0"/>
        <v>0</v>
      </c>
      <c r="U6">
        <f t="shared" si="0"/>
        <v>0</v>
      </c>
      <c r="V6">
        <f t="shared" si="2"/>
        <v>0</v>
      </c>
    </row>
    <row r="7" spans="1:22" x14ac:dyDescent="0.2">
      <c r="A7" s="1" t="s">
        <v>17</v>
      </c>
      <c r="B7" s="1" t="s">
        <v>57</v>
      </c>
      <c r="C7" s="6">
        <v>44931</v>
      </c>
      <c r="D7" s="1" t="s">
        <v>654</v>
      </c>
      <c r="I7" s="6">
        <v>44378</v>
      </c>
      <c r="J7">
        <f t="shared" si="1"/>
        <v>0</v>
      </c>
      <c r="K7">
        <f t="shared" si="0"/>
        <v>0</v>
      </c>
      <c r="L7">
        <f t="shared" si="0"/>
        <v>0</v>
      </c>
      <c r="M7">
        <f t="shared" si="0"/>
        <v>0</v>
      </c>
      <c r="N7">
        <f t="shared" si="0"/>
        <v>0</v>
      </c>
      <c r="O7">
        <f t="shared" si="0"/>
        <v>0</v>
      </c>
      <c r="P7">
        <f t="shared" si="0"/>
        <v>1</v>
      </c>
      <c r="Q7">
        <f t="shared" si="0"/>
        <v>0</v>
      </c>
      <c r="R7">
        <f t="shared" si="0"/>
        <v>0</v>
      </c>
      <c r="S7">
        <f t="shared" si="0"/>
        <v>0</v>
      </c>
      <c r="T7">
        <f t="shared" si="0"/>
        <v>0</v>
      </c>
      <c r="U7">
        <f t="shared" si="0"/>
        <v>0</v>
      </c>
      <c r="V7">
        <f t="shared" si="2"/>
        <v>1</v>
      </c>
    </row>
    <row r="8" spans="1:22" x14ac:dyDescent="0.2">
      <c r="A8" s="1" t="s">
        <v>18</v>
      </c>
      <c r="B8" s="1" t="s">
        <v>58</v>
      </c>
      <c r="C8" s="6">
        <v>44816</v>
      </c>
      <c r="D8" s="1" t="s">
        <v>654</v>
      </c>
      <c r="I8" s="6">
        <v>44409</v>
      </c>
      <c r="J8">
        <f t="shared" si="1"/>
        <v>0</v>
      </c>
      <c r="K8">
        <f t="shared" si="0"/>
        <v>0</v>
      </c>
      <c r="L8">
        <f t="shared" si="0"/>
        <v>0</v>
      </c>
      <c r="M8">
        <f t="shared" si="0"/>
        <v>0</v>
      </c>
      <c r="N8">
        <f t="shared" si="0"/>
        <v>0</v>
      </c>
      <c r="O8">
        <f t="shared" si="0"/>
        <v>0</v>
      </c>
      <c r="P8">
        <f t="shared" si="0"/>
        <v>2</v>
      </c>
      <c r="Q8">
        <f t="shared" si="0"/>
        <v>0</v>
      </c>
      <c r="R8">
        <f t="shared" si="0"/>
        <v>0</v>
      </c>
      <c r="S8">
        <f t="shared" si="0"/>
        <v>0</v>
      </c>
      <c r="T8">
        <f t="shared" si="0"/>
        <v>0</v>
      </c>
      <c r="U8">
        <f t="shared" si="0"/>
        <v>0</v>
      </c>
      <c r="V8">
        <f t="shared" si="2"/>
        <v>2</v>
      </c>
    </row>
    <row r="9" spans="1:22" x14ac:dyDescent="0.2">
      <c r="A9" s="1" t="s">
        <v>19</v>
      </c>
      <c r="B9" s="1" t="s">
        <v>59</v>
      </c>
      <c r="C9" s="6">
        <v>44764</v>
      </c>
      <c r="D9" s="1" t="s">
        <v>654</v>
      </c>
      <c r="I9" s="6">
        <v>44440</v>
      </c>
      <c r="J9">
        <f t="shared" si="1"/>
        <v>0</v>
      </c>
      <c r="K9">
        <f t="shared" si="0"/>
        <v>1</v>
      </c>
      <c r="L9">
        <f t="shared" si="0"/>
        <v>0</v>
      </c>
      <c r="M9">
        <f t="shared" si="0"/>
        <v>0</v>
      </c>
      <c r="N9">
        <f t="shared" si="0"/>
        <v>0</v>
      </c>
      <c r="O9">
        <f t="shared" si="0"/>
        <v>0</v>
      </c>
      <c r="P9">
        <f t="shared" si="0"/>
        <v>6</v>
      </c>
      <c r="Q9">
        <f t="shared" si="0"/>
        <v>0</v>
      </c>
      <c r="R9">
        <f t="shared" si="0"/>
        <v>0</v>
      </c>
      <c r="S9">
        <f t="shared" si="0"/>
        <v>0</v>
      </c>
      <c r="T9">
        <f t="shared" si="0"/>
        <v>0</v>
      </c>
      <c r="U9">
        <f t="shared" si="0"/>
        <v>0</v>
      </c>
      <c r="V9">
        <f t="shared" si="2"/>
        <v>7</v>
      </c>
    </row>
    <row r="10" spans="1:22" x14ac:dyDescent="0.2">
      <c r="A10" s="1" t="s">
        <v>21</v>
      </c>
      <c r="B10" s="1" t="s">
        <v>60</v>
      </c>
      <c r="C10" s="6">
        <v>44836</v>
      </c>
      <c r="D10" s="1" t="s">
        <v>654</v>
      </c>
      <c r="I10" s="6">
        <v>44470</v>
      </c>
      <c r="J10">
        <f t="shared" si="1"/>
        <v>1</v>
      </c>
      <c r="K10">
        <f t="shared" si="0"/>
        <v>0</v>
      </c>
      <c r="L10">
        <f t="shared" si="0"/>
        <v>0</v>
      </c>
      <c r="M10">
        <f t="shared" si="0"/>
        <v>0</v>
      </c>
      <c r="N10">
        <f t="shared" si="0"/>
        <v>0</v>
      </c>
      <c r="O10">
        <f t="shared" si="0"/>
        <v>0</v>
      </c>
      <c r="P10">
        <f t="shared" si="0"/>
        <v>1</v>
      </c>
      <c r="Q10">
        <f t="shared" si="0"/>
        <v>0</v>
      </c>
      <c r="R10">
        <f t="shared" si="0"/>
        <v>0</v>
      </c>
      <c r="S10">
        <f t="shared" si="0"/>
        <v>0</v>
      </c>
      <c r="T10">
        <f t="shared" si="0"/>
        <v>0</v>
      </c>
      <c r="U10">
        <f t="shared" si="0"/>
        <v>0</v>
      </c>
      <c r="V10">
        <f t="shared" si="2"/>
        <v>2</v>
      </c>
    </row>
    <row r="11" spans="1:22" x14ac:dyDescent="0.2">
      <c r="A11" s="1" t="s">
        <v>23</v>
      </c>
      <c r="B11" s="1" t="s">
        <v>61</v>
      </c>
      <c r="C11" s="6">
        <v>44827</v>
      </c>
      <c r="D11" s="1" t="s">
        <v>654</v>
      </c>
      <c r="I11" s="6">
        <v>44501</v>
      </c>
      <c r="J11">
        <f t="shared" si="1"/>
        <v>0</v>
      </c>
      <c r="K11">
        <f t="shared" si="0"/>
        <v>1</v>
      </c>
      <c r="L11">
        <f t="shared" si="0"/>
        <v>0</v>
      </c>
      <c r="M11">
        <f t="shared" si="0"/>
        <v>0</v>
      </c>
      <c r="N11">
        <f t="shared" si="0"/>
        <v>0</v>
      </c>
      <c r="O11">
        <f t="shared" si="0"/>
        <v>0</v>
      </c>
      <c r="P11">
        <f t="shared" si="0"/>
        <v>2</v>
      </c>
      <c r="Q11">
        <f t="shared" si="0"/>
        <v>0</v>
      </c>
      <c r="R11">
        <f t="shared" si="0"/>
        <v>0</v>
      </c>
      <c r="S11">
        <f t="shared" si="0"/>
        <v>0</v>
      </c>
      <c r="T11">
        <f t="shared" si="0"/>
        <v>0</v>
      </c>
      <c r="U11">
        <f t="shared" si="0"/>
        <v>0</v>
      </c>
      <c r="V11">
        <f t="shared" si="2"/>
        <v>3</v>
      </c>
    </row>
    <row r="12" spans="1:22" x14ac:dyDescent="0.2">
      <c r="A12" s="1" t="s">
        <v>25</v>
      </c>
      <c r="B12" s="1" t="s">
        <v>62</v>
      </c>
      <c r="C12" s="6">
        <v>44750</v>
      </c>
      <c r="D12" s="1" t="s">
        <v>654</v>
      </c>
      <c r="I12" s="6">
        <v>44531</v>
      </c>
      <c r="J12">
        <f t="shared" si="1"/>
        <v>0</v>
      </c>
      <c r="K12">
        <f t="shared" si="0"/>
        <v>0</v>
      </c>
      <c r="L12">
        <f t="shared" si="0"/>
        <v>0</v>
      </c>
      <c r="M12">
        <f t="shared" si="0"/>
        <v>0</v>
      </c>
      <c r="N12">
        <f t="shared" si="0"/>
        <v>0</v>
      </c>
      <c r="O12">
        <f t="shared" si="0"/>
        <v>0</v>
      </c>
      <c r="P12">
        <f t="shared" si="0"/>
        <v>5</v>
      </c>
      <c r="Q12">
        <f t="shared" si="0"/>
        <v>0</v>
      </c>
      <c r="R12">
        <f t="shared" si="0"/>
        <v>0</v>
      </c>
      <c r="S12">
        <f t="shared" si="0"/>
        <v>0</v>
      </c>
      <c r="T12">
        <f t="shared" si="0"/>
        <v>0</v>
      </c>
      <c r="U12">
        <f t="shared" si="0"/>
        <v>0</v>
      </c>
      <c r="V12">
        <f t="shared" si="2"/>
        <v>5</v>
      </c>
    </row>
    <row r="13" spans="1:22" x14ac:dyDescent="0.2">
      <c r="A13" s="1" t="s">
        <v>26</v>
      </c>
      <c r="B13" s="1" t="s">
        <v>63</v>
      </c>
      <c r="C13" s="6">
        <v>44913</v>
      </c>
      <c r="D13" s="1" t="s">
        <v>654</v>
      </c>
      <c r="I13" s="6">
        <v>44562</v>
      </c>
      <c r="J13">
        <f t="shared" si="1"/>
        <v>0</v>
      </c>
      <c r="K13">
        <f t="shared" si="0"/>
        <v>3</v>
      </c>
      <c r="L13">
        <f t="shared" si="0"/>
        <v>0</v>
      </c>
      <c r="M13">
        <f t="shared" si="0"/>
        <v>0</v>
      </c>
      <c r="N13">
        <f t="shared" si="0"/>
        <v>0</v>
      </c>
      <c r="O13">
        <f t="shared" si="0"/>
        <v>1</v>
      </c>
      <c r="P13">
        <f t="shared" si="0"/>
        <v>2</v>
      </c>
      <c r="Q13">
        <f t="shared" si="0"/>
        <v>1</v>
      </c>
      <c r="R13">
        <f t="shared" si="0"/>
        <v>0</v>
      </c>
      <c r="S13">
        <f t="shared" si="0"/>
        <v>0</v>
      </c>
      <c r="T13">
        <f t="shared" si="0"/>
        <v>0</v>
      </c>
      <c r="U13">
        <f t="shared" si="0"/>
        <v>0</v>
      </c>
      <c r="V13">
        <f t="shared" si="2"/>
        <v>7</v>
      </c>
    </row>
    <row r="14" spans="1:22" x14ac:dyDescent="0.2">
      <c r="A14" s="1" t="s">
        <v>27</v>
      </c>
      <c r="B14" s="1" t="s">
        <v>64</v>
      </c>
      <c r="C14" s="6">
        <v>44963</v>
      </c>
      <c r="D14" s="1" t="s">
        <v>654</v>
      </c>
      <c r="I14" s="6">
        <v>44593</v>
      </c>
      <c r="J14">
        <f t="shared" si="1"/>
        <v>0</v>
      </c>
      <c r="K14">
        <f t="shared" si="0"/>
        <v>1</v>
      </c>
      <c r="L14">
        <f t="shared" si="0"/>
        <v>0</v>
      </c>
      <c r="M14">
        <f t="shared" si="0"/>
        <v>0</v>
      </c>
      <c r="N14">
        <f t="shared" si="0"/>
        <v>0</v>
      </c>
      <c r="O14">
        <f t="shared" si="0"/>
        <v>0</v>
      </c>
      <c r="P14">
        <f t="shared" si="0"/>
        <v>0</v>
      </c>
      <c r="Q14">
        <f t="shared" si="0"/>
        <v>0</v>
      </c>
      <c r="R14">
        <f t="shared" si="0"/>
        <v>0</v>
      </c>
      <c r="S14">
        <f t="shared" si="0"/>
        <v>0</v>
      </c>
      <c r="T14">
        <f t="shared" si="0"/>
        <v>0</v>
      </c>
      <c r="U14">
        <f t="shared" si="0"/>
        <v>0</v>
      </c>
      <c r="V14">
        <f t="shared" si="2"/>
        <v>1</v>
      </c>
    </row>
    <row r="15" spans="1:22" x14ac:dyDescent="0.2">
      <c r="A15" s="1" t="s">
        <v>29</v>
      </c>
      <c r="B15" s="1" t="s">
        <v>65</v>
      </c>
      <c r="C15" s="6">
        <v>44862</v>
      </c>
      <c r="D15" s="1" t="s">
        <v>654</v>
      </c>
      <c r="I15" s="6">
        <v>44621</v>
      </c>
      <c r="J15">
        <f t="shared" si="1"/>
        <v>0</v>
      </c>
      <c r="K15">
        <f t="shared" si="0"/>
        <v>3</v>
      </c>
      <c r="L15">
        <f t="shared" si="0"/>
        <v>0</v>
      </c>
      <c r="M15">
        <f t="shared" si="0"/>
        <v>0</v>
      </c>
      <c r="N15">
        <f t="shared" si="0"/>
        <v>0</v>
      </c>
      <c r="O15">
        <f t="shared" si="0"/>
        <v>1</v>
      </c>
      <c r="P15">
        <f t="shared" si="0"/>
        <v>2</v>
      </c>
      <c r="Q15">
        <f t="shared" si="0"/>
        <v>0</v>
      </c>
      <c r="R15">
        <f t="shared" si="0"/>
        <v>0</v>
      </c>
      <c r="S15">
        <f t="shared" si="0"/>
        <v>0</v>
      </c>
      <c r="T15">
        <f t="shared" si="0"/>
        <v>0</v>
      </c>
      <c r="U15">
        <f t="shared" si="0"/>
        <v>0</v>
      </c>
      <c r="V15">
        <f t="shared" si="2"/>
        <v>6</v>
      </c>
    </row>
    <row r="16" spans="1:22" x14ac:dyDescent="0.2">
      <c r="A16" s="1" t="s">
        <v>30</v>
      </c>
      <c r="B16" s="1" t="s">
        <v>66</v>
      </c>
      <c r="C16" s="6">
        <v>44735</v>
      </c>
      <c r="D16" s="1" t="s">
        <v>654</v>
      </c>
      <c r="I16" s="6">
        <v>44652</v>
      </c>
      <c r="J16">
        <f t="shared" si="1"/>
        <v>0</v>
      </c>
      <c r="K16">
        <f t="shared" si="0"/>
        <v>3</v>
      </c>
      <c r="L16">
        <f t="shared" si="0"/>
        <v>0</v>
      </c>
      <c r="M16">
        <f t="shared" si="0"/>
        <v>0</v>
      </c>
      <c r="N16">
        <f t="shared" si="0"/>
        <v>0</v>
      </c>
      <c r="O16">
        <f t="shared" si="0"/>
        <v>0</v>
      </c>
      <c r="P16">
        <f t="shared" si="0"/>
        <v>1</v>
      </c>
      <c r="Q16">
        <f t="shared" si="0"/>
        <v>0</v>
      </c>
      <c r="R16">
        <f t="shared" si="0"/>
        <v>0</v>
      </c>
      <c r="S16">
        <f t="shared" si="0"/>
        <v>0</v>
      </c>
      <c r="T16">
        <f t="shared" si="0"/>
        <v>0</v>
      </c>
      <c r="U16">
        <f t="shared" si="0"/>
        <v>0</v>
      </c>
      <c r="V16">
        <f t="shared" si="2"/>
        <v>4</v>
      </c>
    </row>
    <row r="17" spans="1:22" x14ac:dyDescent="0.2">
      <c r="A17" s="1" t="s">
        <v>31</v>
      </c>
      <c r="B17" s="1" t="s">
        <v>67</v>
      </c>
      <c r="C17" s="6">
        <v>44782</v>
      </c>
      <c r="D17" s="1" t="s">
        <v>654</v>
      </c>
      <c r="I17" s="6">
        <v>44682</v>
      </c>
      <c r="J17">
        <f t="shared" si="1"/>
        <v>0</v>
      </c>
      <c r="K17">
        <f t="shared" si="0"/>
        <v>0</v>
      </c>
      <c r="L17">
        <f t="shared" si="0"/>
        <v>0</v>
      </c>
      <c r="M17">
        <f t="shared" si="0"/>
        <v>0</v>
      </c>
      <c r="N17">
        <f t="shared" si="0"/>
        <v>0</v>
      </c>
      <c r="O17">
        <f t="shared" si="0"/>
        <v>2</v>
      </c>
      <c r="P17">
        <f t="shared" si="0"/>
        <v>0</v>
      </c>
      <c r="Q17">
        <f t="shared" si="0"/>
        <v>0</v>
      </c>
      <c r="R17">
        <f t="shared" si="0"/>
        <v>0</v>
      </c>
      <c r="S17">
        <f t="shared" si="0"/>
        <v>0</v>
      </c>
      <c r="T17">
        <f t="shared" si="0"/>
        <v>0</v>
      </c>
      <c r="U17">
        <f t="shared" si="0"/>
        <v>1</v>
      </c>
      <c r="V17">
        <f t="shared" si="2"/>
        <v>3</v>
      </c>
    </row>
    <row r="18" spans="1:22" x14ac:dyDescent="0.2">
      <c r="A18" s="1" t="s">
        <v>32</v>
      </c>
      <c r="B18" s="1" t="s">
        <v>68</v>
      </c>
      <c r="C18" s="6">
        <v>44926</v>
      </c>
      <c r="D18" s="1" t="s">
        <v>654</v>
      </c>
      <c r="I18" s="6">
        <v>44713</v>
      </c>
      <c r="J18">
        <f t="shared" si="1"/>
        <v>3</v>
      </c>
      <c r="K18">
        <f t="shared" ref="K18:K44" si="3">COUNTIFS($C$2:$C$214, "&gt;="&amp;$I18,$C$2:$C$214, "&lt;"&amp;$I19,$D$2:$D$214,K$1)</f>
        <v>0</v>
      </c>
      <c r="L18">
        <f t="shared" ref="L18:L44" si="4">COUNTIFS($C$2:$C$214, "&gt;="&amp;$I18,$C$2:$C$214, "&lt;"&amp;$I19,$D$2:$D$214,L$1)</f>
        <v>0</v>
      </c>
      <c r="M18">
        <f t="shared" ref="M18:M44" si="5">COUNTIFS($C$2:$C$214, "&gt;="&amp;$I18,$C$2:$C$214, "&lt;"&amp;$I19,$D$2:$D$214,M$1)</f>
        <v>1</v>
      </c>
      <c r="N18">
        <f t="shared" ref="N18:N44" si="6">COUNTIFS($C$2:$C$214, "&gt;="&amp;$I18,$C$2:$C$214, "&lt;"&amp;$I19,$D$2:$D$214,N$1)</f>
        <v>2</v>
      </c>
      <c r="O18">
        <f t="shared" ref="O18:O44" si="7">COUNTIFS($C$2:$C$214, "&gt;="&amp;$I18,$C$2:$C$214, "&lt;"&amp;$I19,$D$2:$D$214,O$1)</f>
        <v>1</v>
      </c>
      <c r="P18">
        <f t="shared" ref="P18:P44" si="8">COUNTIFS($C$2:$C$214, "&gt;="&amp;$I18,$C$2:$C$214, "&lt;"&amp;$I19,$D$2:$D$214,P$1)</f>
        <v>0</v>
      </c>
      <c r="Q18">
        <f t="shared" ref="Q18:Q44" si="9">COUNTIFS($C$2:$C$214, "&gt;="&amp;$I18,$C$2:$C$214, "&lt;"&amp;$I19,$D$2:$D$214,Q$1)</f>
        <v>0</v>
      </c>
      <c r="R18">
        <f t="shared" ref="R18:R44" si="10">COUNTIFS($C$2:$C$214, "&gt;="&amp;$I18,$C$2:$C$214, "&lt;"&amp;$I19,$D$2:$D$214,R$1)</f>
        <v>0</v>
      </c>
      <c r="S18">
        <f t="shared" ref="S18:S44" si="11">COUNTIFS($C$2:$C$214, "&gt;="&amp;$I18,$C$2:$C$214, "&lt;"&amp;$I19,$D$2:$D$214,S$1)</f>
        <v>0</v>
      </c>
      <c r="T18">
        <f t="shared" ref="T18:T44" si="12">COUNTIFS($C$2:$C$214, "&gt;="&amp;$I18,$C$2:$C$214, "&lt;"&amp;$I19,$D$2:$D$214,T$1)</f>
        <v>0</v>
      </c>
      <c r="U18">
        <f t="shared" ref="U18:U44" si="13">COUNTIFS($C$2:$C$214, "&gt;="&amp;$I18,$C$2:$C$214, "&lt;"&amp;$I19,$D$2:$D$214,U$1)</f>
        <v>1</v>
      </c>
      <c r="V18">
        <f t="shared" si="2"/>
        <v>8</v>
      </c>
    </row>
    <row r="19" spans="1:22" x14ac:dyDescent="0.2">
      <c r="A19" s="1" t="s">
        <v>33</v>
      </c>
      <c r="B19" s="1" t="s">
        <v>69</v>
      </c>
      <c r="C19" s="6">
        <v>44869</v>
      </c>
      <c r="D19" s="1" t="s">
        <v>654</v>
      </c>
      <c r="I19" s="6">
        <v>44743</v>
      </c>
      <c r="J19">
        <f t="shared" si="1"/>
        <v>4</v>
      </c>
      <c r="K19">
        <f t="shared" si="3"/>
        <v>4</v>
      </c>
      <c r="L19">
        <f t="shared" si="4"/>
        <v>1</v>
      </c>
      <c r="M19">
        <f t="shared" si="5"/>
        <v>0</v>
      </c>
      <c r="N19">
        <f t="shared" si="6"/>
        <v>1</v>
      </c>
      <c r="O19">
        <f t="shared" si="7"/>
        <v>1</v>
      </c>
      <c r="P19">
        <f t="shared" si="8"/>
        <v>0</v>
      </c>
      <c r="Q19">
        <f t="shared" si="9"/>
        <v>1</v>
      </c>
      <c r="R19">
        <f t="shared" si="10"/>
        <v>0</v>
      </c>
      <c r="S19">
        <f t="shared" si="11"/>
        <v>0</v>
      </c>
      <c r="T19">
        <f t="shared" si="12"/>
        <v>0</v>
      </c>
      <c r="U19">
        <f t="shared" si="13"/>
        <v>0</v>
      </c>
      <c r="V19">
        <f t="shared" si="2"/>
        <v>12</v>
      </c>
    </row>
    <row r="20" spans="1:22" x14ac:dyDescent="0.2">
      <c r="A20" s="1" t="s">
        <v>34</v>
      </c>
      <c r="B20" s="1" t="s">
        <v>70</v>
      </c>
      <c r="C20" s="6">
        <v>44784</v>
      </c>
      <c r="D20" s="1" t="s">
        <v>654</v>
      </c>
      <c r="I20" s="6">
        <v>44774</v>
      </c>
      <c r="J20">
        <f t="shared" si="1"/>
        <v>3</v>
      </c>
      <c r="K20">
        <f t="shared" si="3"/>
        <v>2</v>
      </c>
      <c r="L20">
        <f t="shared" si="4"/>
        <v>0</v>
      </c>
      <c r="M20">
        <f t="shared" si="5"/>
        <v>0</v>
      </c>
      <c r="N20">
        <f t="shared" si="6"/>
        <v>0</v>
      </c>
      <c r="O20">
        <f t="shared" si="7"/>
        <v>0</v>
      </c>
      <c r="P20">
        <f t="shared" si="8"/>
        <v>0</v>
      </c>
      <c r="Q20">
        <f t="shared" si="9"/>
        <v>0</v>
      </c>
      <c r="R20">
        <f t="shared" si="10"/>
        <v>0</v>
      </c>
      <c r="S20">
        <f t="shared" si="11"/>
        <v>0</v>
      </c>
      <c r="T20">
        <f t="shared" si="12"/>
        <v>0</v>
      </c>
      <c r="U20">
        <f t="shared" si="13"/>
        <v>0</v>
      </c>
      <c r="V20">
        <f t="shared" si="2"/>
        <v>5</v>
      </c>
    </row>
    <row r="21" spans="1:22" x14ac:dyDescent="0.2">
      <c r="A21" s="1" t="s">
        <v>35</v>
      </c>
      <c r="B21" s="1" t="s">
        <v>71</v>
      </c>
      <c r="C21" s="6">
        <v>44764</v>
      </c>
      <c r="D21" s="1" t="s">
        <v>654</v>
      </c>
      <c r="I21" s="6">
        <v>44805</v>
      </c>
      <c r="J21">
        <f t="shared" si="1"/>
        <v>3</v>
      </c>
      <c r="K21">
        <f t="shared" si="3"/>
        <v>0</v>
      </c>
      <c r="L21">
        <f t="shared" si="4"/>
        <v>0</v>
      </c>
      <c r="M21">
        <f t="shared" si="5"/>
        <v>0</v>
      </c>
      <c r="N21">
        <f t="shared" si="6"/>
        <v>1</v>
      </c>
      <c r="O21">
        <f t="shared" si="7"/>
        <v>0</v>
      </c>
      <c r="P21">
        <f t="shared" si="8"/>
        <v>0</v>
      </c>
      <c r="Q21">
        <f t="shared" si="9"/>
        <v>2</v>
      </c>
      <c r="R21">
        <f t="shared" si="10"/>
        <v>0</v>
      </c>
      <c r="S21">
        <f t="shared" si="11"/>
        <v>0</v>
      </c>
      <c r="T21">
        <f t="shared" si="12"/>
        <v>0</v>
      </c>
      <c r="U21">
        <f t="shared" si="13"/>
        <v>0</v>
      </c>
      <c r="V21">
        <f t="shared" si="2"/>
        <v>6</v>
      </c>
    </row>
    <row r="22" spans="1:22" x14ac:dyDescent="0.2">
      <c r="A22" s="1" t="s">
        <v>36</v>
      </c>
      <c r="B22" s="1" t="s">
        <v>72</v>
      </c>
      <c r="C22" s="6">
        <v>44721</v>
      </c>
      <c r="D22" s="1" t="s">
        <v>654</v>
      </c>
      <c r="I22" s="6">
        <v>44835</v>
      </c>
      <c r="J22">
        <f t="shared" si="1"/>
        <v>3</v>
      </c>
      <c r="K22">
        <f t="shared" si="3"/>
        <v>0</v>
      </c>
      <c r="L22">
        <f t="shared" si="4"/>
        <v>1</v>
      </c>
      <c r="M22">
        <f t="shared" si="5"/>
        <v>5</v>
      </c>
      <c r="N22">
        <f t="shared" si="6"/>
        <v>1</v>
      </c>
      <c r="O22">
        <f t="shared" si="7"/>
        <v>1</v>
      </c>
      <c r="P22">
        <f t="shared" si="8"/>
        <v>0</v>
      </c>
      <c r="Q22">
        <f t="shared" si="9"/>
        <v>0</v>
      </c>
      <c r="R22">
        <f t="shared" si="10"/>
        <v>0</v>
      </c>
      <c r="S22">
        <f t="shared" si="11"/>
        <v>0</v>
      </c>
      <c r="T22">
        <f t="shared" si="12"/>
        <v>1</v>
      </c>
      <c r="U22">
        <f t="shared" si="13"/>
        <v>2</v>
      </c>
      <c r="V22">
        <f t="shared" si="2"/>
        <v>14</v>
      </c>
    </row>
    <row r="23" spans="1:22" x14ac:dyDescent="0.2">
      <c r="A23" s="1" t="s">
        <v>37</v>
      </c>
      <c r="B23" s="1" t="s">
        <v>73</v>
      </c>
      <c r="C23" s="6">
        <v>44913</v>
      </c>
      <c r="D23" s="1" t="s">
        <v>654</v>
      </c>
      <c r="I23" s="6">
        <v>44866</v>
      </c>
      <c r="J23">
        <f t="shared" si="1"/>
        <v>2</v>
      </c>
      <c r="K23">
        <f t="shared" si="3"/>
        <v>0</v>
      </c>
      <c r="L23">
        <f t="shared" si="4"/>
        <v>2</v>
      </c>
      <c r="M23">
        <f t="shared" si="5"/>
        <v>2</v>
      </c>
      <c r="N23">
        <f t="shared" si="6"/>
        <v>1</v>
      </c>
      <c r="O23">
        <f t="shared" si="7"/>
        <v>1</v>
      </c>
      <c r="P23">
        <f t="shared" si="8"/>
        <v>1</v>
      </c>
      <c r="Q23">
        <f t="shared" si="9"/>
        <v>0</v>
      </c>
      <c r="R23">
        <f t="shared" si="10"/>
        <v>1</v>
      </c>
      <c r="S23">
        <f t="shared" si="11"/>
        <v>1</v>
      </c>
      <c r="T23">
        <f t="shared" si="12"/>
        <v>0</v>
      </c>
      <c r="U23">
        <f t="shared" si="13"/>
        <v>0</v>
      </c>
      <c r="V23">
        <f t="shared" si="2"/>
        <v>11</v>
      </c>
    </row>
    <row r="24" spans="1:22" x14ac:dyDescent="0.2">
      <c r="A24" s="1" t="s">
        <v>39</v>
      </c>
      <c r="B24" s="1" t="s">
        <v>74</v>
      </c>
      <c r="C24" s="6">
        <v>44883</v>
      </c>
      <c r="D24" s="1" t="s">
        <v>654</v>
      </c>
      <c r="I24" s="6">
        <v>44896</v>
      </c>
      <c r="J24">
        <f t="shared" si="1"/>
        <v>4</v>
      </c>
      <c r="K24">
        <f t="shared" si="3"/>
        <v>2</v>
      </c>
      <c r="L24">
        <f t="shared" si="4"/>
        <v>3</v>
      </c>
      <c r="M24">
        <f t="shared" si="5"/>
        <v>1</v>
      </c>
      <c r="N24">
        <f t="shared" si="6"/>
        <v>3</v>
      </c>
      <c r="O24">
        <f t="shared" si="7"/>
        <v>0</v>
      </c>
      <c r="P24">
        <f t="shared" si="8"/>
        <v>0</v>
      </c>
      <c r="Q24">
        <f t="shared" si="9"/>
        <v>1</v>
      </c>
      <c r="R24">
        <f t="shared" si="10"/>
        <v>1</v>
      </c>
      <c r="S24">
        <f t="shared" si="11"/>
        <v>2</v>
      </c>
      <c r="T24">
        <f t="shared" si="12"/>
        <v>0</v>
      </c>
      <c r="U24">
        <f t="shared" si="13"/>
        <v>4</v>
      </c>
      <c r="V24">
        <f t="shared" si="2"/>
        <v>21</v>
      </c>
    </row>
    <row r="25" spans="1:22" x14ac:dyDescent="0.2">
      <c r="A25" s="1" t="s">
        <v>40</v>
      </c>
      <c r="B25" s="1" t="s">
        <v>75</v>
      </c>
      <c r="C25" s="6">
        <v>44924</v>
      </c>
      <c r="D25" s="1" t="s">
        <v>654</v>
      </c>
      <c r="I25" s="6">
        <v>44927</v>
      </c>
      <c r="J25">
        <f t="shared" si="1"/>
        <v>1</v>
      </c>
      <c r="K25">
        <f t="shared" si="3"/>
        <v>1</v>
      </c>
      <c r="L25">
        <f t="shared" si="4"/>
        <v>2</v>
      </c>
      <c r="M25">
        <f t="shared" si="5"/>
        <v>2</v>
      </c>
      <c r="N25">
        <f t="shared" si="6"/>
        <v>3</v>
      </c>
      <c r="O25">
        <f t="shared" si="7"/>
        <v>1</v>
      </c>
      <c r="P25">
        <f t="shared" si="8"/>
        <v>0</v>
      </c>
      <c r="Q25">
        <f t="shared" si="9"/>
        <v>0</v>
      </c>
      <c r="R25">
        <f t="shared" si="10"/>
        <v>1</v>
      </c>
      <c r="S25">
        <f t="shared" si="11"/>
        <v>0</v>
      </c>
      <c r="T25">
        <f t="shared" si="12"/>
        <v>0</v>
      </c>
      <c r="U25">
        <f t="shared" si="13"/>
        <v>2</v>
      </c>
      <c r="V25">
        <f t="shared" si="2"/>
        <v>13</v>
      </c>
    </row>
    <row r="26" spans="1:22" x14ac:dyDescent="0.2">
      <c r="A26" s="1" t="s">
        <v>41</v>
      </c>
      <c r="B26" s="1" t="s">
        <v>76</v>
      </c>
      <c r="C26" s="6">
        <v>44834</v>
      </c>
      <c r="D26" s="1" t="s">
        <v>654</v>
      </c>
      <c r="I26" s="6">
        <v>44958</v>
      </c>
      <c r="J26">
        <f t="shared" si="1"/>
        <v>1</v>
      </c>
      <c r="K26">
        <f t="shared" si="3"/>
        <v>0</v>
      </c>
      <c r="L26">
        <f t="shared" si="4"/>
        <v>2</v>
      </c>
      <c r="M26">
        <f t="shared" si="5"/>
        <v>3</v>
      </c>
      <c r="N26">
        <f t="shared" si="6"/>
        <v>3</v>
      </c>
      <c r="O26">
        <f t="shared" si="7"/>
        <v>0</v>
      </c>
      <c r="P26">
        <f t="shared" si="8"/>
        <v>0</v>
      </c>
      <c r="Q26">
        <f t="shared" si="9"/>
        <v>0</v>
      </c>
      <c r="R26">
        <f t="shared" si="10"/>
        <v>0</v>
      </c>
      <c r="S26">
        <f t="shared" si="11"/>
        <v>0</v>
      </c>
      <c r="T26">
        <f t="shared" si="12"/>
        <v>4</v>
      </c>
      <c r="U26">
        <f t="shared" si="13"/>
        <v>2</v>
      </c>
      <c r="V26">
        <f t="shared" si="2"/>
        <v>15</v>
      </c>
    </row>
    <row r="27" spans="1:22" x14ac:dyDescent="0.2">
      <c r="A27" t="s">
        <v>50</v>
      </c>
      <c r="B27" s="7" t="s">
        <v>77</v>
      </c>
      <c r="C27" s="6">
        <v>44461</v>
      </c>
      <c r="D27" s="1" t="s">
        <v>655</v>
      </c>
      <c r="I27" s="6">
        <v>44986</v>
      </c>
      <c r="J27">
        <f t="shared" si="1"/>
        <v>0</v>
      </c>
      <c r="K27">
        <f t="shared" si="3"/>
        <v>0</v>
      </c>
      <c r="L27">
        <f t="shared" si="4"/>
        <v>3</v>
      </c>
      <c r="M27">
        <f t="shared" si="5"/>
        <v>1</v>
      </c>
      <c r="N27">
        <f t="shared" si="6"/>
        <v>1</v>
      </c>
      <c r="O27">
        <f t="shared" si="7"/>
        <v>0</v>
      </c>
      <c r="P27">
        <f t="shared" si="8"/>
        <v>0</v>
      </c>
      <c r="Q27">
        <f t="shared" si="9"/>
        <v>0</v>
      </c>
      <c r="R27">
        <f t="shared" si="10"/>
        <v>0</v>
      </c>
      <c r="S27">
        <f t="shared" si="11"/>
        <v>0</v>
      </c>
      <c r="T27">
        <f t="shared" si="12"/>
        <v>0</v>
      </c>
      <c r="U27">
        <f t="shared" si="13"/>
        <v>1</v>
      </c>
      <c r="V27">
        <f t="shared" si="2"/>
        <v>6</v>
      </c>
    </row>
    <row r="28" spans="1:22" x14ac:dyDescent="0.2">
      <c r="A28" t="s">
        <v>14</v>
      </c>
      <c r="B28" s="7" t="s">
        <v>78</v>
      </c>
      <c r="C28" s="6">
        <v>44748</v>
      </c>
      <c r="D28" s="1" t="s">
        <v>655</v>
      </c>
      <c r="I28" s="6">
        <v>45017</v>
      </c>
      <c r="J28">
        <f t="shared" si="1"/>
        <v>0</v>
      </c>
      <c r="K28">
        <f t="shared" si="3"/>
        <v>0</v>
      </c>
      <c r="L28">
        <f t="shared" si="4"/>
        <v>1</v>
      </c>
      <c r="M28">
        <f t="shared" si="5"/>
        <v>0</v>
      </c>
      <c r="N28">
        <f t="shared" si="6"/>
        <v>1</v>
      </c>
      <c r="O28">
        <f t="shared" si="7"/>
        <v>1</v>
      </c>
      <c r="P28">
        <f t="shared" si="8"/>
        <v>0</v>
      </c>
      <c r="Q28">
        <f t="shared" si="9"/>
        <v>0</v>
      </c>
      <c r="R28">
        <f t="shared" si="10"/>
        <v>0</v>
      </c>
      <c r="S28">
        <f t="shared" si="11"/>
        <v>0</v>
      </c>
      <c r="T28">
        <f t="shared" si="12"/>
        <v>2</v>
      </c>
      <c r="U28">
        <f t="shared" si="13"/>
        <v>2</v>
      </c>
      <c r="V28">
        <f t="shared" si="2"/>
        <v>7</v>
      </c>
    </row>
    <row r="29" spans="1:22" x14ac:dyDescent="0.2">
      <c r="A29" t="s">
        <v>15</v>
      </c>
      <c r="B29" s="7" t="s">
        <v>79</v>
      </c>
      <c r="C29" s="6">
        <v>44771</v>
      </c>
      <c r="D29" s="1" t="s">
        <v>655</v>
      </c>
      <c r="I29" s="6">
        <v>45047</v>
      </c>
      <c r="J29">
        <f t="shared" si="1"/>
        <v>0</v>
      </c>
      <c r="K29">
        <f t="shared" si="3"/>
        <v>0</v>
      </c>
      <c r="L29">
        <f t="shared" si="4"/>
        <v>3</v>
      </c>
      <c r="M29">
        <f t="shared" si="5"/>
        <v>1</v>
      </c>
      <c r="N29">
        <f t="shared" si="6"/>
        <v>2</v>
      </c>
      <c r="O29">
        <f t="shared" si="7"/>
        <v>0</v>
      </c>
      <c r="P29">
        <f t="shared" si="8"/>
        <v>0</v>
      </c>
      <c r="Q29">
        <f t="shared" si="9"/>
        <v>1</v>
      </c>
      <c r="R29">
        <f t="shared" si="10"/>
        <v>0</v>
      </c>
      <c r="S29">
        <f t="shared" si="11"/>
        <v>0</v>
      </c>
      <c r="T29">
        <f t="shared" si="12"/>
        <v>0</v>
      </c>
      <c r="U29">
        <f t="shared" si="13"/>
        <v>0</v>
      </c>
      <c r="V29">
        <f t="shared" si="2"/>
        <v>7</v>
      </c>
    </row>
    <row r="30" spans="1:22" x14ac:dyDescent="0.2">
      <c r="A30" t="s">
        <v>16</v>
      </c>
      <c r="B30" s="7" t="s">
        <v>80</v>
      </c>
      <c r="C30" s="6">
        <v>44566</v>
      </c>
      <c r="D30" s="1" t="s">
        <v>655</v>
      </c>
      <c r="I30" s="6">
        <v>45078</v>
      </c>
      <c r="J30">
        <f t="shared" si="1"/>
        <v>0</v>
      </c>
      <c r="K30">
        <f t="shared" si="3"/>
        <v>0</v>
      </c>
      <c r="L30">
        <f t="shared" si="4"/>
        <v>1</v>
      </c>
      <c r="M30">
        <f t="shared" si="5"/>
        <v>3</v>
      </c>
      <c r="N30">
        <f t="shared" si="6"/>
        <v>0</v>
      </c>
      <c r="O30">
        <f t="shared" si="7"/>
        <v>0</v>
      </c>
      <c r="P30">
        <f t="shared" si="8"/>
        <v>0</v>
      </c>
      <c r="Q30">
        <f t="shared" si="9"/>
        <v>0</v>
      </c>
      <c r="R30">
        <f t="shared" si="10"/>
        <v>1</v>
      </c>
      <c r="S30">
        <f t="shared" si="11"/>
        <v>1</v>
      </c>
      <c r="T30">
        <f t="shared" si="12"/>
        <v>0</v>
      </c>
      <c r="U30">
        <f t="shared" si="13"/>
        <v>0</v>
      </c>
      <c r="V30">
        <f t="shared" si="2"/>
        <v>6</v>
      </c>
    </row>
    <row r="31" spans="1:22" x14ac:dyDescent="0.2">
      <c r="A31" t="s">
        <v>17</v>
      </c>
      <c r="B31" s="7" t="s">
        <v>81</v>
      </c>
      <c r="C31" s="6">
        <v>44944</v>
      </c>
      <c r="D31" s="1" t="s">
        <v>655</v>
      </c>
      <c r="I31" s="6">
        <v>45108</v>
      </c>
      <c r="J31">
        <f t="shared" si="1"/>
        <v>0</v>
      </c>
      <c r="K31">
        <f t="shared" si="3"/>
        <v>0</v>
      </c>
      <c r="L31">
        <f t="shared" si="4"/>
        <v>2</v>
      </c>
      <c r="M31">
        <f t="shared" si="5"/>
        <v>1</v>
      </c>
      <c r="N31">
        <f t="shared" si="6"/>
        <v>2</v>
      </c>
      <c r="O31">
        <f t="shared" si="7"/>
        <v>0</v>
      </c>
      <c r="P31">
        <f t="shared" si="8"/>
        <v>0</v>
      </c>
      <c r="Q31">
        <f t="shared" si="9"/>
        <v>0</v>
      </c>
      <c r="R31">
        <f t="shared" si="10"/>
        <v>0</v>
      </c>
      <c r="S31">
        <f t="shared" si="11"/>
        <v>1</v>
      </c>
      <c r="T31">
        <f t="shared" si="12"/>
        <v>0</v>
      </c>
      <c r="U31">
        <f t="shared" si="13"/>
        <v>2</v>
      </c>
      <c r="V31">
        <f t="shared" si="2"/>
        <v>8</v>
      </c>
    </row>
    <row r="32" spans="1:22" x14ac:dyDescent="0.2">
      <c r="A32" t="s">
        <v>19</v>
      </c>
      <c r="B32" s="7" t="s">
        <v>82</v>
      </c>
      <c r="C32" s="6">
        <v>44530</v>
      </c>
      <c r="D32" s="1" t="s">
        <v>655</v>
      </c>
      <c r="I32" s="6">
        <v>45139</v>
      </c>
      <c r="J32">
        <f t="shared" si="1"/>
        <v>0</v>
      </c>
      <c r="K32">
        <f t="shared" si="3"/>
        <v>0</v>
      </c>
      <c r="L32">
        <f t="shared" si="4"/>
        <v>2</v>
      </c>
      <c r="M32">
        <f t="shared" si="5"/>
        <v>4</v>
      </c>
      <c r="N32">
        <f t="shared" si="6"/>
        <v>2</v>
      </c>
      <c r="O32">
        <f t="shared" si="7"/>
        <v>0</v>
      </c>
      <c r="P32">
        <f t="shared" si="8"/>
        <v>0</v>
      </c>
      <c r="Q32">
        <f t="shared" si="9"/>
        <v>1</v>
      </c>
      <c r="R32">
        <f t="shared" si="10"/>
        <v>0</v>
      </c>
      <c r="S32">
        <f t="shared" si="11"/>
        <v>1</v>
      </c>
      <c r="T32">
        <f t="shared" si="12"/>
        <v>1</v>
      </c>
      <c r="U32">
        <f t="shared" si="13"/>
        <v>0</v>
      </c>
      <c r="V32">
        <f t="shared" si="2"/>
        <v>11</v>
      </c>
    </row>
    <row r="33" spans="1:22" x14ac:dyDescent="0.2">
      <c r="A33" t="s">
        <v>21</v>
      </c>
      <c r="B33" s="7" t="s">
        <v>83</v>
      </c>
      <c r="C33" s="6">
        <v>44576</v>
      </c>
      <c r="D33" s="1" t="s">
        <v>655</v>
      </c>
      <c r="I33" s="6">
        <v>45170</v>
      </c>
      <c r="J33">
        <f t="shared" si="1"/>
        <v>0</v>
      </c>
      <c r="K33">
        <f t="shared" si="3"/>
        <v>0</v>
      </c>
      <c r="L33">
        <f t="shared" si="4"/>
        <v>0</v>
      </c>
      <c r="M33">
        <f t="shared" si="5"/>
        <v>0</v>
      </c>
      <c r="N33">
        <f t="shared" si="6"/>
        <v>1</v>
      </c>
      <c r="O33">
        <f t="shared" si="7"/>
        <v>0</v>
      </c>
      <c r="P33">
        <f t="shared" si="8"/>
        <v>0</v>
      </c>
      <c r="Q33">
        <f t="shared" si="9"/>
        <v>0</v>
      </c>
      <c r="R33">
        <f t="shared" si="10"/>
        <v>0</v>
      </c>
      <c r="S33">
        <f t="shared" si="11"/>
        <v>0</v>
      </c>
      <c r="T33">
        <f t="shared" si="12"/>
        <v>1</v>
      </c>
      <c r="U33">
        <f t="shared" si="13"/>
        <v>0</v>
      </c>
      <c r="V33">
        <f t="shared" si="2"/>
        <v>2</v>
      </c>
    </row>
    <row r="34" spans="1:22" x14ac:dyDescent="0.2">
      <c r="A34" t="s">
        <v>22</v>
      </c>
      <c r="B34" s="7" t="s">
        <v>84</v>
      </c>
      <c r="C34" s="6">
        <v>44609</v>
      </c>
      <c r="D34" s="1" t="s">
        <v>655</v>
      </c>
      <c r="I34" s="6">
        <v>45200</v>
      </c>
      <c r="J34">
        <f t="shared" si="1"/>
        <v>0</v>
      </c>
      <c r="K34">
        <f t="shared" si="3"/>
        <v>0</v>
      </c>
      <c r="L34">
        <f t="shared" si="4"/>
        <v>1</v>
      </c>
      <c r="M34">
        <f t="shared" si="5"/>
        <v>0</v>
      </c>
      <c r="N34">
        <f t="shared" si="6"/>
        <v>2</v>
      </c>
      <c r="O34">
        <f t="shared" si="7"/>
        <v>0</v>
      </c>
      <c r="P34">
        <f t="shared" si="8"/>
        <v>0</v>
      </c>
      <c r="Q34">
        <f t="shared" si="9"/>
        <v>0</v>
      </c>
      <c r="R34">
        <f t="shared" si="10"/>
        <v>0</v>
      </c>
      <c r="S34">
        <f t="shared" si="11"/>
        <v>0</v>
      </c>
      <c r="T34">
        <f t="shared" si="12"/>
        <v>0</v>
      </c>
      <c r="U34">
        <f t="shared" si="13"/>
        <v>0</v>
      </c>
      <c r="V34">
        <f t="shared" si="2"/>
        <v>3</v>
      </c>
    </row>
    <row r="35" spans="1:22" x14ac:dyDescent="0.2">
      <c r="A35" t="s">
        <v>23</v>
      </c>
      <c r="B35" s="7" t="s">
        <v>85</v>
      </c>
      <c r="C35" s="6">
        <v>44668</v>
      </c>
      <c r="D35" s="1" t="s">
        <v>655</v>
      </c>
      <c r="I35" s="6">
        <v>45231</v>
      </c>
      <c r="J35">
        <f t="shared" si="1"/>
        <v>0</v>
      </c>
      <c r="K35">
        <f t="shared" si="3"/>
        <v>0</v>
      </c>
      <c r="L35">
        <f t="shared" si="4"/>
        <v>1</v>
      </c>
      <c r="M35">
        <f t="shared" si="5"/>
        <v>0</v>
      </c>
      <c r="N35">
        <f t="shared" si="6"/>
        <v>0</v>
      </c>
      <c r="O35">
        <f t="shared" si="7"/>
        <v>0</v>
      </c>
      <c r="P35">
        <f t="shared" si="8"/>
        <v>0</v>
      </c>
      <c r="Q35">
        <f t="shared" si="9"/>
        <v>0</v>
      </c>
      <c r="R35">
        <f t="shared" si="10"/>
        <v>0</v>
      </c>
      <c r="S35">
        <f t="shared" si="11"/>
        <v>0</v>
      </c>
      <c r="T35">
        <f t="shared" si="12"/>
        <v>0</v>
      </c>
      <c r="U35">
        <f t="shared" si="13"/>
        <v>0</v>
      </c>
      <c r="V35">
        <f t="shared" si="2"/>
        <v>1</v>
      </c>
    </row>
    <row r="36" spans="1:22" x14ac:dyDescent="0.2">
      <c r="A36" t="s">
        <v>24</v>
      </c>
      <c r="B36" s="7" t="s">
        <v>86</v>
      </c>
      <c r="C36" s="6">
        <v>44794</v>
      </c>
      <c r="D36" s="1" t="s">
        <v>655</v>
      </c>
      <c r="I36" s="6">
        <v>45261</v>
      </c>
      <c r="J36">
        <f t="shared" si="1"/>
        <v>0</v>
      </c>
      <c r="K36">
        <f t="shared" si="3"/>
        <v>0</v>
      </c>
      <c r="L36">
        <f t="shared" si="4"/>
        <v>0</v>
      </c>
      <c r="M36">
        <f t="shared" si="5"/>
        <v>0</v>
      </c>
      <c r="N36">
        <f t="shared" si="6"/>
        <v>0</v>
      </c>
      <c r="O36">
        <f t="shared" si="7"/>
        <v>0</v>
      </c>
      <c r="P36">
        <f t="shared" si="8"/>
        <v>0</v>
      </c>
      <c r="Q36">
        <f t="shared" si="9"/>
        <v>0</v>
      </c>
      <c r="R36">
        <f t="shared" si="10"/>
        <v>0</v>
      </c>
      <c r="S36">
        <f t="shared" si="11"/>
        <v>1</v>
      </c>
      <c r="T36">
        <f t="shared" si="12"/>
        <v>0</v>
      </c>
      <c r="U36">
        <f t="shared" si="13"/>
        <v>1</v>
      </c>
      <c r="V36">
        <f t="shared" si="2"/>
        <v>2</v>
      </c>
    </row>
    <row r="37" spans="1:22" x14ac:dyDescent="0.2">
      <c r="A37" t="s">
        <v>25</v>
      </c>
      <c r="B37" s="7" t="s">
        <v>87</v>
      </c>
      <c r="C37" s="6">
        <v>44657</v>
      </c>
      <c r="D37" s="1" t="s">
        <v>655</v>
      </c>
      <c r="I37" s="6">
        <v>45292</v>
      </c>
      <c r="J37">
        <f t="shared" si="1"/>
        <v>0</v>
      </c>
      <c r="K37">
        <f t="shared" si="3"/>
        <v>0</v>
      </c>
      <c r="L37">
        <f t="shared" si="4"/>
        <v>0</v>
      </c>
      <c r="M37">
        <f t="shared" si="5"/>
        <v>1</v>
      </c>
      <c r="N37">
        <f t="shared" si="6"/>
        <v>0</v>
      </c>
      <c r="O37">
        <f t="shared" si="7"/>
        <v>0</v>
      </c>
      <c r="P37">
        <f t="shared" si="8"/>
        <v>0</v>
      </c>
      <c r="Q37">
        <f t="shared" si="9"/>
        <v>0</v>
      </c>
      <c r="R37">
        <f t="shared" si="10"/>
        <v>2</v>
      </c>
      <c r="S37">
        <f t="shared" si="11"/>
        <v>2</v>
      </c>
      <c r="T37">
        <f t="shared" si="12"/>
        <v>0</v>
      </c>
      <c r="U37">
        <f t="shared" si="13"/>
        <v>0</v>
      </c>
      <c r="V37">
        <f t="shared" si="2"/>
        <v>5</v>
      </c>
    </row>
    <row r="38" spans="1:22" x14ac:dyDescent="0.2">
      <c r="A38" t="s">
        <v>26</v>
      </c>
      <c r="B38" s="7" t="s">
        <v>97</v>
      </c>
      <c r="C38" s="6">
        <v>44918</v>
      </c>
      <c r="D38" s="1" t="s">
        <v>655</v>
      </c>
      <c r="I38" s="6">
        <v>45323</v>
      </c>
      <c r="J38">
        <f t="shared" si="1"/>
        <v>0</v>
      </c>
      <c r="K38">
        <f t="shared" si="3"/>
        <v>0</v>
      </c>
      <c r="L38">
        <f t="shared" si="4"/>
        <v>0</v>
      </c>
      <c r="M38">
        <f t="shared" si="5"/>
        <v>0</v>
      </c>
      <c r="N38">
        <f t="shared" si="6"/>
        <v>0</v>
      </c>
      <c r="O38">
        <f t="shared" si="7"/>
        <v>0</v>
      </c>
      <c r="P38">
        <f t="shared" si="8"/>
        <v>0</v>
      </c>
      <c r="Q38">
        <f t="shared" si="9"/>
        <v>0</v>
      </c>
      <c r="R38">
        <f t="shared" si="10"/>
        <v>0</v>
      </c>
      <c r="S38">
        <f t="shared" si="11"/>
        <v>1</v>
      </c>
      <c r="T38">
        <f t="shared" si="12"/>
        <v>0</v>
      </c>
      <c r="U38">
        <f t="shared" si="13"/>
        <v>0</v>
      </c>
      <c r="V38">
        <f t="shared" si="2"/>
        <v>1</v>
      </c>
    </row>
    <row r="39" spans="1:22" x14ac:dyDescent="0.2">
      <c r="A39" t="s">
        <v>29</v>
      </c>
      <c r="B39" s="7" t="s">
        <v>88</v>
      </c>
      <c r="C39" s="6">
        <v>44633</v>
      </c>
      <c r="D39" s="1" t="s">
        <v>655</v>
      </c>
      <c r="I39" s="6">
        <v>45352</v>
      </c>
      <c r="J39">
        <f t="shared" si="1"/>
        <v>0</v>
      </c>
      <c r="K39">
        <f t="shared" si="3"/>
        <v>0</v>
      </c>
      <c r="L39">
        <f t="shared" si="4"/>
        <v>0</v>
      </c>
      <c r="M39">
        <f t="shared" si="5"/>
        <v>0</v>
      </c>
      <c r="N39">
        <f t="shared" si="6"/>
        <v>0</v>
      </c>
      <c r="O39">
        <f t="shared" si="7"/>
        <v>0</v>
      </c>
      <c r="P39">
        <f t="shared" si="8"/>
        <v>0</v>
      </c>
      <c r="Q39">
        <f t="shared" si="9"/>
        <v>0</v>
      </c>
      <c r="R39">
        <f t="shared" si="10"/>
        <v>1</v>
      </c>
      <c r="S39">
        <f t="shared" si="11"/>
        <v>1</v>
      </c>
      <c r="T39">
        <f t="shared" si="12"/>
        <v>0</v>
      </c>
      <c r="U39">
        <f t="shared" si="13"/>
        <v>0</v>
      </c>
      <c r="V39">
        <f t="shared" si="2"/>
        <v>2</v>
      </c>
    </row>
    <row r="40" spans="1:22" x14ac:dyDescent="0.2">
      <c r="A40" t="s">
        <v>30</v>
      </c>
      <c r="B40" s="7" t="s">
        <v>89</v>
      </c>
      <c r="C40" s="6">
        <v>44768</v>
      </c>
      <c r="D40" s="1" t="s">
        <v>655</v>
      </c>
      <c r="I40" s="6">
        <v>45383</v>
      </c>
      <c r="J40">
        <f t="shared" si="1"/>
        <v>0</v>
      </c>
      <c r="K40">
        <f t="shared" si="3"/>
        <v>0</v>
      </c>
      <c r="L40">
        <f t="shared" si="4"/>
        <v>0</v>
      </c>
      <c r="M40">
        <f t="shared" si="5"/>
        <v>0</v>
      </c>
      <c r="N40">
        <f t="shared" si="6"/>
        <v>0</v>
      </c>
      <c r="O40">
        <f t="shared" si="7"/>
        <v>0</v>
      </c>
      <c r="P40">
        <f t="shared" si="8"/>
        <v>0</v>
      </c>
      <c r="Q40">
        <f t="shared" si="9"/>
        <v>0</v>
      </c>
      <c r="R40">
        <f t="shared" si="10"/>
        <v>0</v>
      </c>
      <c r="S40">
        <f t="shared" si="11"/>
        <v>1</v>
      </c>
      <c r="T40">
        <f t="shared" si="12"/>
        <v>0</v>
      </c>
      <c r="U40">
        <f t="shared" si="13"/>
        <v>0</v>
      </c>
      <c r="V40">
        <f t="shared" si="2"/>
        <v>1</v>
      </c>
    </row>
    <row r="41" spans="1:22" x14ac:dyDescent="0.2">
      <c r="A41" t="s">
        <v>32</v>
      </c>
      <c r="B41" s="7" t="s">
        <v>90</v>
      </c>
      <c r="C41" s="6">
        <v>44634</v>
      </c>
      <c r="D41" s="1" t="s">
        <v>655</v>
      </c>
      <c r="I41" s="6">
        <v>45413</v>
      </c>
      <c r="J41">
        <f t="shared" si="1"/>
        <v>0</v>
      </c>
      <c r="K41">
        <f t="shared" si="3"/>
        <v>0</v>
      </c>
      <c r="L41">
        <f t="shared" si="4"/>
        <v>0</v>
      </c>
      <c r="M41">
        <f t="shared" si="5"/>
        <v>0</v>
      </c>
      <c r="N41">
        <f t="shared" si="6"/>
        <v>0</v>
      </c>
      <c r="O41">
        <f t="shared" si="7"/>
        <v>0</v>
      </c>
      <c r="P41">
        <f t="shared" si="8"/>
        <v>0</v>
      </c>
      <c r="Q41">
        <f t="shared" si="9"/>
        <v>0</v>
      </c>
      <c r="R41">
        <f t="shared" si="10"/>
        <v>1</v>
      </c>
      <c r="S41">
        <f t="shared" si="11"/>
        <v>0</v>
      </c>
      <c r="T41">
        <f t="shared" si="12"/>
        <v>0</v>
      </c>
      <c r="U41">
        <f t="shared" si="13"/>
        <v>0</v>
      </c>
      <c r="V41">
        <f t="shared" si="2"/>
        <v>1</v>
      </c>
    </row>
    <row r="42" spans="1:22" x14ac:dyDescent="0.2">
      <c r="A42" t="s">
        <v>34</v>
      </c>
      <c r="B42" s="7" t="s">
        <v>91</v>
      </c>
      <c r="C42" s="6">
        <v>44902</v>
      </c>
      <c r="D42" s="1" t="s">
        <v>655</v>
      </c>
      <c r="I42" s="6">
        <v>45444</v>
      </c>
      <c r="J42">
        <f t="shared" si="1"/>
        <v>0</v>
      </c>
      <c r="K42">
        <f t="shared" si="3"/>
        <v>0</v>
      </c>
      <c r="L42">
        <f t="shared" si="4"/>
        <v>0</v>
      </c>
      <c r="M42">
        <f t="shared" si="5"/>
        <v>0</v>
      </c>
      <c r="N42">
        <f t="shared" si="6"/>
        <v>0</v>
      </c>
      <c r="O42">
        <f t="shared" si="7"/>
        <v>0</v>
      </c>
      <c r="P42">
        <f t="shared" si="8"/>
        <v>0</v>
      </c>
      <c r="Q42">
        <f t="shared" si="9"/>
        <v>0</v>
      </c>
      <c r="R42">
        <f t="shared" si="10"/>
        <v>0</v>
      </c>
      <c r="S42">
        <f t="shared" si="11"/>
        <v>0</v>
      </c>
      <c r="T42">
        <f t="shared" si="12"/>
        <v>0</v>
      </c>
      <c r="U42">
        <f t="shared" si="13"/>
        <v>0</v>
      </c>
      <c r="V42">
        <f t="shared" si="2"/>
        <v>0</v>
      </c>
    </row>
    <row r="43" spans="1:22" x14ac:dyDescent="0.2">
      <c r="A43" t="s">
        <v>35</v>
      </c>
      <c r="B43" s="7" t="s">
        <v>92</v>
      </c>
      <c r="C43" s="6">
        <v>44786</v>
      </c>
      <c r="D43" s="1" t="s">
        <v>655</v>
      </c>
      <c r="I43" s="6">
        <v>45474</v>
      </c>
      <c r="J43">
        <f t="shared" si="1"/>
        <v>0</v>
      </c>
      <c r="K43">
        <f t="shared" si="3"/>
        <v>0</v>
      </c>
      <c r="L43">
        <f t="shared" si="4"/>
        <v>0</v>
      </c>
      <c r="M43">
        <f t="shared" si="5"/>
        <v>0</v>
      </c>
      <c r="N43">
        <f t="shared" si="6"/>
        <v>0</v>
      </c>
      <c r="O43">
        <f t="shared" si="7"/>
        <v>0</v>
      </c>
      <c r="P43">
        <f t="shared" si="8"/>
        <v>0</v>
      </c>
      <c r="Q43">
        <f t="shared" si="9"/>
        <v>0</v>
      </c>
      <c r="R43">
        <f t="shared" si="10"/>
        <v>0</v>
      </c>
      <c r="S43">
        <f t="shared" si="11"/>
        <v>0</v>
      </c>
      <c r="T43">
        <f t="shared" si="12"/>
        <v>0</v>
      </c>
      <c r="U43">
        <f t="shared" si="13"/>
        <v>0</v>
      </c>
      <c r="V43">
        <f t="shared" si="2"/>
        <v>0</v>
      </c>
    </row>
    <row r="44" spans="1:22" x14ac:dyDescent="0.2">
      <c r="A44" t="s">
        <v>37</v>
      </c>
      <c r="B44" s="7" t="s">
        <v>93</v>
      </c>
      <c r="C44" s="6">
        <v>44633</v>
      </c>
      <c r="D44" s="1" t="s">
        <v>655</v>
      </c>
      <c r="I44" s="6">
        <v>45505</v>
      </c>
      <c r="J44">
        <f t="shared" si="1"/>
        <v>0</v>
      </c>
      <c r="K44">
        <f t="shared" si="3"/>
        <v>0</v>
      </c>
      <c r="L44">
        <f t="shared" si="4"/>
        <v>0</v>
      </c>
      <c r="M44">
        <f t="shared" si="5"/>
        <v>0</v>
      </c>
      <c r="N44">
        <f t="shared" si="6"/>
        <v>0</v>
      </c>
      <c r="O44">
        <f t="shared" si="7"/>
        <v>0</v>
      </c>
      <c r="P44">
        <f t="shared" si="8"/>
        <v>0</v>
      </c>
      <c r="Q44">
        <f t="shared" si="9"/>
        <v>0</v>
      </c>
      <c r="R44">
        <f t="shared" si="10"/>
        <v>0</v>
      </c>
      <c r="S44">
        <f t="shared" si="11"/>
        <v>0</v>
      </c>
      <c r="T44">
        <f t="shared" si="12"/>
        <v>0</v>
      </c>
      <c r="U44">
        <f t="shared" si="13"/>
        <v>0</v>
      </c>
      <c r="V44">
        <f t="shared" si="2"/>
        <v>0</v>
      </c>
    </row>
    <row r="45" spans="1:22" x14ac:dyDescent="0.2">
      <c r="A45" t="s">
        <v>39</v>
      </c>
      <c r="B45" s="7" t="s">
        <v>94</v>
      </c>
      <c r="C45" s="6">
        <v>44743</v>
      </c>
      <c r="D45" s="1" t="s">
        <v>655</v>
      </c>
      <c r="J45">
        <f>SUM(J2:J44)</f>
        <v>25</v>
      </c>
      <c r="K45">
        <f t="shared" ref="K45:U45" si="14">SUM(K2:K44)</f>
        <v>21</v>
      </c>
      <c r="L45">
        <f t="shared" si="14"/>
        <v>25</v>
      </c>
      <c r="M45">
        <f t="shared" si="14"/>
        <v>25</v>
      </c>
      <c r="N45">
        <f t="shared" si="14"/>
        <v>26</v>
      </c>
      <c r="O45">
        <f t="shared" si="14"/>
        <v>10</v>
      </c>
      <c r="P45">
        <f t="shared" si="14"/>
        <v>25</v>
      </c>
      <c r="Q45">
        <f t="shared" si="14"/>
        <v>7</v>
      </c>
      <c r="R45">
        <f t="shared" si="14"/>
        <v>8</v>
      </c>
      <c r="S45">
        <f t="shared" si="14"/>
        <v>12</v>
      </c>
      <c r="T45">
        <f t="shared" si="14"/>
        <v>9</v>
      </c>
      <c r="U45">
        <f t="shared" si="14"/>
        <v>18</v>
      </c>
      <c r="V45">
        <f t="shared" si="2"/>
        <v>211</v>
      </c>
    </row>
    <row r="46" spans="1:22" x14ac:dyDescent="0.2">
      <c r="A46" t="s">
        <v>40</v>
      </c>
      <c r="B46" s="7" t="s">
        <v>95</v>
      </c>
      <c r="C46" s="6">
        <v>44679</v>
      </c>
      <c r="D46" s="1" t="s">
        <v>655</v>
      </c>
    </row>
    <row r="47" spans="1:22" x14ac:dyDescent="0.2">
      <c r="A47" t="s">
        <v>41</v>
      </c>
      <c r="B47" s="7" t="s">
        <v>96</v>
      </c>
      <c r="C47" s="6">
        <v>44569</v>
      </c>
      <c r="D47" s="1" t="s">
        <v>655</v>
      </c>
    </row>
    <row r="48" spans="1:22" x14ac:dyDescent="0.2">
      <c r="A48" t="s">
        <v>50</v>
      </c>
      <c r="B48" t="s">
        <v>99</v>
      </c>
      <c r="C48" s="10">
        <v>44749</v>
      </c>
      <c r="D48" s="1" t="s">
        <v>656</v>
      </c>
    </row>
    <row r="49" spans="1:4" x14ac:dyDescent="0.2">
      <c r="A49" t="s">
        <v>13</v>
      </c>
      <c r="B49" t="s">
        <v>98</v>
      </c>
      <c r="C49" s="10">
        <v>44900</v>
      </c>
      <c r="D49" s="1" t="s">
        <v>656</v>
      </c>
    </row>
    <row r="50" spans="1:4" x14ac:dyDescent="0.2">
      <c r="A50" t="s">
        <v>14</v>
      </c>
      <c r="B50" t="s">
        <v>100</v>
      </c>
      <c r="C50" s="10">
        <v>44903</v>
      </c>
      <c r="D50" s="1" t="s">
        <v>656</v>
      </c>
    </row>
    <row r="51" spans="1:4" x14ac:dyDescent="0.2">
      <c r="A51" t="s">
        <v>15</v>
      </c>
      <c r="B51" t="s">
        <v>101</v>
      </c>
      <c r="C51" s="10">
        <v>44954</v>
      </c>
      <c r="D51" s="1" t="s">
        <v>656</v>
      </c>
    </row>
    <row r="52" spans="1:4" x14ac:dyDescent="0.2">
      <c r="A52" t="s">
        <v>16</v>
      </c>
      <c r="B52" t="s">
        <v>102</v>
      </c>
      <c r="C52" s="10">
        <v>45007</v>
      </c>
      <c r="D52" s="1" t="s">
        <v>656</v>
      </c>
    </row>
    <row r="53" spans="1:4" x14ac:dyDescent="0.2">
      <c r="A53" t="s">
        <v>17</v>
      </c>
      <c r="B53" t="s">
        <v>103</v>
      </c>
      <c r="C53" s="10">
        <v>45076</v>
      </c>
      <c r="D53" s="1" t="s">
        <v>656</v>
      </c>
    </row>
    <row r="54" spans="1:4" x14ac:dyDescent="0.2">
      <c r="A54" t="s">
        <v>19</v>
      </c>
      <c r="B54" t="s">
        <v>104</v>
      </c>
      <c r="C54" s="10">
        <v>45141</v>
      </c>
      <c r="D54" s="1" t="s">
        <v>656</v>
      </c>
    </row>
    <row r="55" spans="1:4" x14ac:dyDescent="0.2">
      <c r="A55" t="s">
        <v>20</v>
      </c>
      <c r="B55" t="s">
        <v>105</v>
      </c>
      <c r="C55" s="10">
        <v>44893</v>
      </c>
      <c r="D55" s="1" t="s">
        <v>656</v>
      </c>
    </row>
    <row r="56" spans="1:4" x14ac:dyDescent="0.2">
      <c r="A56" t="s">
        <v>21</v>
      </c>
      <c r="B56" t="s">
        <v>106</v>
      </c>
      <c r="C56" s="10">
        <v>44938</v>
      </c>
      <c r="D56" s="1" t="s">
        <v>656</v>
      </c>
    </row>
    <row r="57" spans="1:4" x14ac:dyDescent="0.2">
      <c r="A57" t="s">
        <v>22</v>
      </c>
      <c r="B57" t="s">
        <v>107</v>
      </c>
      <c r="C57" s="10">
        <v>44978</v>
      </c>
      <c r="D57" s="1" t="s">
        <v>656</v>
      </c>
    </row>
    <row r="58" spans="1:4" x14ac:dyDescent="0.2">
      <c r="A58" t="s">
        <v>23</v>
      </c>
      <c r="B58" t="s">
        <v>108</v>
      </c>
      <c r="C58" s="10">
        <v>44895</v>
      </c>
      <c r="D58" s="1" t="s">
        <v>656</v>
      </c>
    </row>
    <row r="59" spans="1:4" x14ac:dyDescent="0.2">
      <c r="A59" t="s">
        <v>24</v>
      </c>
      <c r="B59" t="s">
        <v>109</v>
      </c>
      <c r="C59" s="10">
        <v>45125</v>
      </c>
      <c r="D59" s="1" t="s">
        <v>656</v>
      </c>
    </row>
    <row r="60" spans="1:4" x14ac:dyDescent="0.2">
      <c r="A60" t="s">
        <v>25</v>
      </c>
      <c r="B60" t="s">
        <v>110</v>
      </c>
      <c r="C60" s="10">
        <v>44844</v>
      </c>
      <c r="D60" s="1" t="s">
        <v>656</v>
      </c>
    </row>
    <row r="61" spans="1:4" x14ac:dyDescent="0.2">
      <c r="A61" t="s">
        <v>26</v>
      </c>
      <c r="B61" t="s">
        <v>111</v>
      </c>
      <c r="C61" s="10">
        <v>45044</v>
      </c>
      <c r="D61" s="1" t="s">
        <v>656</v>
      </c>
    </row>
    <row r="62" spans="1:4" x14ac:dyDescent="0.2">
      <c r="A62" t="s">
        <v>27</v>
      </c>
      <c r="B62" t="s">
        <v>112</v>
      </c>
      <c r="C62" s="10">
        <v>45007</v>
      </c>
      <c r="D62" s="1" t="s">
        <v>656</v>
      </c>
    </row>
    <row r="63" spans="1:4" x14ac:dyDescent="0.2">
      <c r="A63" t="s">
        <v>29</v>
      </c>
      <c r="B63" t="s">
        <v>113</v>
      </c>
      <c r="C63" s="10">
        <v>44916</v>
      </c>
      <c r="D63" s="1" t="s">
        <v>656</v>
      </c>
    </row>
    <row r="64" spans="1:4" x14ac:dyDescent="0.2">
      <c r="A64" t="s">
        <v>32</v>
      </c>
      <c r="B64" t="s">
        <v>114</v>
      </c>
      <c r="C64" s="10">
        <v>45224</v>
      </c>
      <c r="D64" s="1" t="s">
        <v>656</v>
      </c>
    </row>
    <row r="65" spans="1:4" x14ac:dyDescent="0.2">
      <c r="A65" t="s">
        <v>33</v>
      </c>
      <c r="B65" t="s">
        <v>115</v>
      </c>
      <c r="C65" s="10">
        <v>45001</v>
      </c>
      <c r="D65" s="1" t="s">
        <v>656</v>
      </c>
    </row>
    <row r="66" spans="1:4" x14ac:dyDescent="0.2">
      <c r="A66" t="s">
        <v>34</v>
      </c>
      <c r="B66" t="s">
        <v>116</v>
      </c>
      <c r="C66" s="10">
        <v>45145</v>
      </c>
      <c r="D66" s="1" t="s">
        <v>656</v>
      </c>
    </row>
    <row r="67" spans="1:4" x14ac:dyDescent="0.2">
      <c r="A67" t="s">
        <v>35</v>
      </c>
      <c r="B67" t="s">
        <v>117</v>
      </c>
      <c r="C67" s="10">
        <v>44973</v>
      </c>
      <c r="D67" s="1" t="s">
        <v>656</v>
      </c>
    </row>
    <row r="68" spans="1:4" x14ac:dyDescent="0.2">
      <c r="A68" t="s">
        <v>37</v>
      </c>
      <c r="B68" t="s">
        <v>118</v>
      </c>
      <c r="C68" s="10">
        <v>45092</v>
      </c>
      <c r="D68" s="1" t="s">
        <v>656</v>
      </c>
    </row>
    <row r="69" spans="1:4" x14ac:dyDescent="0.2">
      <c r="A69" t="s">
        <v>38</v>
      </c>
      <c r="B69" t="s">
        <v>119</v>
      </c>
      <c r="C69" s="10">
        <v>45054</v>
      </c>
      <c r="D69" s="1" t="s">
        <v>656</v>
      </c>
    </row>
    <row r="70" spans="1:4" x14ac:dyDescent="0.2">
      <c r="A70" t="s">
        <v>39</v>
      </c>
      <c r="B70" t="s">
        <v>120</v>
      </c>
      <c r="C70" s="10">
        <v>45050</v>
      </c>
      <c r="D70" s="1" t="s">
        <v>656</v>
      </c>
    </row>
    <row r="71" spans="1:4" x14ac:dyDescent="0.2">
      <c r="A71" t="s">
        <v>40</v>
      </c>
      <c r="B71" t="s">
        <v>121</v>
      </c>
      <c r="C71" s="10">
        <v>45231</v>
      </c>
      <c r="D71" s="1" t="s">
        <v>656</v>
      </c>
    </row>
    <row r="72" spans="1:4" x14ac:dyDescent="0.2">
      <c r="A72" t="s">
        <v>42</v>
      </c>
      <c r="B72" t="s">
        <v>122</v>
      </c>
      <c r="C72" s="10">
        <v>45133</v>
      </c>
      <c r="D72" s="1" t="s">
        <v>656</v>
      </c>
    </row>
    <row r="73" spans="1:4" x14ac:dyDescent="0.2">
      <c r="A73" t="s">
        <v>50</v>
      </c>
      <c r="B73" t="s">
        <v>123</v>
      </c>
      <c r="C73" s="10">
        <v>44742</v>
      </c>
      <c r="D73" s="1" t="s">
        <v>657</v>
      </c>
    </row>
    <row r="74" spans="1:4" x14ac:dyDescent="0.2">
      <c r="A74" t="s">
        <v>13</v>
      </c>
      <c r="B74" t="s">
        <v>124</v>
      </c>
      <c r="C74" s="10">
        <v>45154</v>
      </c>
      <c r="D74" s="1" t="s">
        <v>657</v>
      </c>
    </row>
    <row r="75" spans="1:4" x14ac:dyDescent="0.2">
      <c r="A75" t="s">
        <v>14</v>
      </c>
      <c r="B75" t="s">
        <v>125</v>
      </c>
      <c r="C75" s="10">
        <v>44866</v>
      </c>
      <c r="D75" s="1" t="s">
        <v>657</v>
      </c>
    </row>
    <row r="76" spans="1:4" x14ac:dyDescent="0.2">
      <c r="A76" t="s">
        <v>15</v>
      </c>
      <c r="B76" t="s">
        <v>126</v>
      </c>
      <c r="C76" s="10">
        <v>44930</v>
      </c>
      <c r="D76" s="1" t="s">
        <v>657</v>
      </c>
    </row>
    <row r="77" spans="1:4" x14ac:dyDescent="0.2">
      <c r="A77" t="s">
        <v>16</v>
      </c>
      <c r="B77" t="s">
        <v>127</v>
      </c>
      <c r="C77" s="10">
        <v>44965</v>
      </c>
      <c r="D77" s="1" t="s">
        <v>657</v>
      </c>
    </row>
    <row r="78" spans="1:4" x14ac:dyDescent="0.2">
      <c r="A78" t="s">
        <v>17</v>
      </c>
      <c r="B78" t="s">
        <v>128</v>
      </c>
      <c r="C78" s="10">
        <v>44984</v>
      </c>
      <c r="D78" s="1" t="s">
        <v>657</v>
      </c>
    </row>
    <row r="79" spans="1:4" x14ac:dyDescent="0.2">
      <c r="A79" t="s">
        <v>18</v>
      </c>
      <c r="B79" t="s">
        <v>129</v>
      </c>
      <c r="C79" s="10">
        <v>45107</v>
      </c>
      <c r="D79" s="1" t="s">
        <v>657</v>
      </c>
    </row>
    <row r="80" spans="1:4" x14ac:dyDescent="0.2">
      <c r="A80" t="s">
        <v>19</v>
      </c>
      <c r="B80" t="s">
        <v>130</v>
      </c>
      <c r="C80" s="10">
        <v>45133</v>
      </c>
      <c r="D80" s="1" t="s">
        <v>657</v>
      </c>
    </row>
    <row r="81" spans="1:4" x14ac:dyDescent="0.2">
      <c r="A81" t="s">
        <v>20</v>
      </c>
      <c r="B81" t="s">
        <v>131</v>
      </c>
      <c r="C81" s="10">
        <v>44848</v>
      </c>
      <c r="D81" s="1" t="s">
        <v>657</v>
      </c>
    </row>
    <row r="82" spans="1:4" x14ac:dyDescent="0.2">
      <c r="A82" t="s">
        <v>21</v>
      </c>
      <c r="B82" t="s">
        <v>132</v>
      </c>
      <c r="C82" s="10">
        <v>44836</v>
      </c>
      <c r="D82" s="1" t="s">
        <v>657</v>
      </c>
    </row>
    <row r="83" spans="1:4" x14ac:dyDescent="0.2">
      <c r="A83" t="s">
        <v>23</v>
      </c>
      <c r="B83" t="s">
        <v>133</v>
      </c>
      <c r="C83" s="10">
        <v>44862</v>
      </c>
      <c r="D83" s="1" t="s">
        <v>657</v>
      </c>
    </row>
    <row r="84" spans="1:4" x14ac:dyDescent="0.2">
      <c r="A84" t="s">
        <v>24</v>
      </c>
      <c r="B84" t="s">
        <v>134</v>
      </c>
      <c r="C84" s="10">
        <v>45008</v>
      </c>
      <c r="D84" s="1" t="s">
        <v>657</v>
      </c>
    </row>
    <row r="85" spans="1:4" x14ac:dyDescent="0.2">
      <c r="A85" t="s">
        <v>25</v>
      </c>
      <c r="B85" t="s">
        <v>135</v>
      </c>
      <c r="C85" s="10">
        <v>44858</v>
      </c>
      <c r="D85" s="1" t="s">
        <v>657</v>
      </c>
    </row>
    <row r="86" spans="1:4" x14ac:dyDescent="0.2">
      <c r="A86" t="s">
        <v>26</v>
      </c>
      <c r="B86" t="s">
        <v>136</v>
      </c>
      <c r="C86" s="10">
        <v>45072</v>
      </c>
      <c r="D86" s="1" t="s">
        <v>657</v>
      </c>
    </row>
    <row r="87" spans="1:4" x14ac:dyDescent="0.2">
      <c r="A87" t="s">
        <v>27</v>
      </c>
      <c r="B87" t="s">
        <v>137</v>
      </c>
      <c r="C87" s="10">
        <v>44965</v>
      </c>
      <c r="D87" s="1" t="s">
        <v>657</v>
      </c>
    </row>
    <row r="88" spans="1:4" x14ac:dyDescent="0.2">
      <c r="A88" t="s">
        <v>28</v>
      </c>
      <c r="B88" t="s">
        <v>138</v>
      </c>
      <c r="C88" s="10">
        <v>45152</v>
      </c>
      <c r="D88" s="1" t="s">
        <v>657</v>
      </c>
    </row>
    <row r="89" spans="1:4" x14ac:dyDescent="0.2">
      <c r="A89" t="s">
        <v>29</v>
      </c>
      <c r="B89" t="s">
        <v>139</v>
      </c>
      <c r="C89" s="10">
        <v>44862</v>
      </c>
      <c r="D89" s="1" t="s">
        <v>657</v>
      </c>
    </row>
    <row r="90" spans="1:4" x14ac:dyDescent="0.2">
      <c r="A90" t="s">
        <v>30</v>
      </c>
      <c r="B90" t="s">
        <v>140</v>
      </c>
      <c r="C90" s="10">
        <v>45320</v>
      </c>
      <c r="D90" s="1" t="s">
        <v>657</v>
      </c>
    </row>
    <row r="91" spans="1:4" x14ac:dyDescent="0.2">
      <c r="A91" t="s">
        <v>32</v>
      </c>
      <c r="B91" t="s">
        <v>141</v>
      </c>
      <c r="C91" s="10">
        <v>45155</v>
      </c>
      <c r="D91" s="1" t="s">
        <v>657</v>
      </c>
    </row>
    <row r="92" spans="1:4" x14ac:dyDescent="0.2">
      <c r="A92" t="s">
        <v>33</v>
      </c>
      <c r="B92" t="s">
        <v>142</v>
      </c>
      <c r="C92" s="10">
        <v>44869</v>
      </c>
      <c r="D92" s="1" t="s">
        <v>657</v>
      </c>
    </row>
    <row r="93" spans="1:4" x14ac:dyDescent="0.2">
      <c r="A93" t="s">
        <v>34</v>
      </c>
      <c r="B93" t="s">
        <v>143</v>
      </c>
      <c r="C93" s="10">
        <v>45147</v>
      </c>
      <c r="D93" s="1" t="s">
        <v>657</v>
      </c>
    </row>
    <row r="94" spans="1:4" x14ac:dyDescent="0.2">
      <c r="A94" t="s">
        <v>37</v>
      </c>
      <c r="B94" t="s">
        <v>144</v>
      </c>
      <c r="C94" s="10">
        <v>45106</v>
      </c>
      <c r="D94" s="1" t="s">
        <v>657</v>
      </c>
    </row>
    <row r="95" spans="1:4" x14ac:dyDescent="0.2">
      <c r="A95" t="s">
        <v>40</v>
      </c>
      <c r="B95" t="s">
        <v>145</v>
      </c>
      <c r="C95" s="10">
        <v>45093</v>
      </c>
      <c r="D95" s="1" t="s">
        <v>657</v>
      </c>
    </row>
    <row r="96" spans="1:4" x14ac:dyDescent="0.2">
      <c r="A96" t="s">
        <v>41</v>
      </c>
      <c r="B96" t="s">
        <v>146</v>
      </c>
      <c r="C96" s="10">
        <v>44924</v>
      </c>
      <c r="D96" s="1" t="s">
        <v>657</v>
      </c>
    </row>
    <row r="97" spans="1:4" x14ac:dyDescent="0.2">
      <c r="A97" t="s">
        <v>42</v>
      </c>
      <c r="B97" t="s">
        <v>147</v>
      </c>
      <c r="C97" s="10">
        <v>44946</v>
      </c>
      <c r="D97" s="1" t="s">
        <v>657</v>
      </c>
    </row>
    <row r="98" spans="1:4" x14ac:dyDescent="0.2">
      <c r="A98" t="s">
        <v>50</v>
      </c>
      <c r="B98" t="s">
        <v>148</v>
      </c>
      <c r="C98" s="10">
        <v>44722</v>
      </c>
      <c r="D98" s="1" t="s">
        <v>658</v>
      </c>
    </row>
    <row r="99" spans="1:4" x14ac:dyDescent="0.2">
      <c r="A99" t="s">
        <v>12</v>
      </c>
      <c r="B99" t="s">
        <v>149</v>
      </c>
      <c r="C99" s="10">
        <v>45189</v>
      </c>
      <c r="D99" s="1" t="s">
        <v>658</v>
      </c>
    </row>
    <row r="100" spans="1:4" x14ac:dyDescent="0.2">
      <c r="A100" t="s">
        <v>13</v>
      </c>
      <c r="B100" t="s">
        <v>150</v>
      </c>
      <c r="C100" s="10">
        <v>44902</v>
      </c>
      <c r="D100" s="1" t="s">
        <v>658</v>
      </c>
    </row>
    <row r="101" spans="1:4" x14ac:dyDescent="0.2">
      <c r="A101" t="s">
        <v>14</v>
      </c>
      <c r="B101" t="s">
        <v>151</v>
      </c>
      <c r="C101" s="10">
        <v>44944</v>
      </c>
      <c r="D101" s="1" t="s">
        <v>658</v>
      </c>
    </row>
    <row r="102" spans="1:4" x14ac:dyDescent="0.2">
      <c r="A102" t="s">
        <v>15</v>
      </c>
      <c r="B102" t="s">
        <v>152</v>
      </c>
      <c r="C102" s="10">
        <v>45156</v>
      </c>
      <c r="D102" s="1" t="s">
        <v>658</v>
      </c>
    </row>
    <row r="103" spans="1:4" x14ac:dyDescent="0.2">
      <c r="A103" t="s">
        <v>16</v>
      </c>
      <c r="B103" t="s">
        <v>153</v>
      </c>
      <c r="C103" s="10">
        <v>44959</v>
      </c>
      <c r="D103" s="1" t="s">
        <v>658</v>
      </c>
    </row>
    <row r="104" spans="1:4" x14ac:dyDescent="0.2">
      <c r="A104" t="s">
        <v>17</v>
      </c>
      <c r="B104" t="s">
        <v>154</v>
      </c>
      <c r="C104" s="10">
        <v>44936</v>
      </c>
      <c r="D104" s="1" t="s">
        <v>658</v>
      </c>
    </row>
    <row r="105" spans="1:4" x14ac:dyDescent="0.2">
      <c r="A105" t="s">
        <v>18</v>
      </c>
      <c r="B105" t="s">
        <v>155</v>
      </c>
      <c r="C105" s="10">
        <v>45219</v>
      </c>
      <c r="D105" s="1" t="s">
        <v>658</v>
      </c>
    </row>
    <row r="106" spans="1:4" x14ac:dyDescent="0.2">
      <c r="A106" t="s">
        <v>19</v>
      </c>
      <c r="B106" t="s">
        <v>156</v>
      </c>
      <c r="C106" s="10">
        <v>45220</v>
      </c>
      <c r="D106" s="1" t="s">
        <v>658</v>
      </c>
    </row>
    <row r="107" spans="1:4" x14ac:dyDescent="0.2">
      <c r="A107" t="s">
        <v>20</v>
      </c>
      <c r="B107" t="s">
        <v>157</v>
      </c>
      <c r="C107" s="10">
        <v>44853</v>
      </c>
      <c r="D107" s="1" t="s">
        <v>658</v>
      </c>
    </row>
    <row r="108" spans="1:4" x14ac:dyDescent="0.2">
      <c r="A108" t="s">
        <v>21</v>
      </c>
      <c r="B108" t="s">
        <v>158</v>
      </c>
      <c r="C108" s="10">
        <v>44935</v>
      </c>
      <c r="D108" s="1" t="s">
        <v>658</v>
      </c>
    </row>
    <row r="109" spans="1:4" x14ac:dyDescent="0.2">
      <c r="A109" t="s">
        <v>22</v>
      </c>
      <c r="B109" t="s">
        <v>159</v>
      </c>
      <c r="C109" s="10">
        <v>44907</v>
      </c>
      <c r="D109" s="1" t="s">
        <v>658</v>
      </c>
    </row>
    <row r="110" spans="1:4" x14ac:dyDescent="0.2">
      <c r="A110" t="s">
        <v>24</v>
      </c>
      <c r="B110" t="s">
        <v>160</v>
      </c>
      <c r="C110" s="10">
        <v>44771</v>
      </c>
      <c r="D110" s="1" t="s">
        <v>658</v>
      </c>
    </row>
    <row r="111" spans="1:4" x14ac:dyDescent="0.2">
      <c r="A111" t="s">
        <v>25</v>
      </c>
      <c r="B111" t="s">
        <v>161</v>
      </c>
      <c r="C111" s="10">
        <v>44833</v>
      </c>
      <c r="D111" s="1" t="s">
        <v>658</v>
      </c>
    </row>
    <row r="112" spans="1:4" x14ac:dyDescent="0.2">
      <c r="A112" t="s">
        <v>26</v>
      </c>
      <c r="B112" t="s">
        <v>162</v>
      </c>
      <c r="C112" s="10">
        <v>45072</v>
      </c>
      <c r="D112" s="1" t="s">
        <v>658</v>
      </c>
    </row>
    <row r="113" spans="1:4" x14ac:dyDescent="0.2">
      <c r="A113" t="s">
        <v>27</v>
      </c>
      <c r="B113" t="s">
        <v>163</v>
      </c>
      <c r="C113" s="10">
        <v>44981</v>
      </c>
      <c r="D113" s="1" t="s">
        <v>658</v>
      </c>
    </row>
    <row r="114" spans="1:4" x14ac:dyDescent="0.2">
      <c r="A114" t="s">
        <v>28</v>
      </c>
      <c r="B114" t="s">
        <v>165</v>
      </c>
      <c r="C114" s="10">
        <v>44900</v>
      </c>
      <c r="D114" s="1" t="s">
        <v>658</v>
      </c>
    </row>
    <row r="115" spans="1:4" x14ac:dyDescent="0.2">
      <c r="A115" t="s">
        <v>29</v>
      </c>
      <c r="B115" t="s">
        <v>164</v>
      </c>
      <c r="C115" s="10">
        <v>44722</v>
      </c>
      <c r="D115" s="1" t="s">
        <v>658</v>
      </c>
    </row>
    <row r="116" spans="1:4" x14ac:dyDescent="0.2">
      <c r="A116" t="s">
        <v>30</v>
      </c>
      <c r="B116" t="s">
        <v>166</v>
      </c>
      <c r="C116" s="10">
        <v>45166</v>
      </c>
      <c r="D116" s="1" t="s">
        <v>658</v>
      </c>
    </row>
    <row r="117" spans="1:4" x14ac:dyDescent="0.2">
      <c r="A117" t="s">
        <v>32</v>
      </c>
      <c r="B117" t="s">
        <v>167</v>
      </c>
      <c r="C117" s="10">
        <v>45126</v>
      </c>
      <c r="D117" s="1" t="s">
        <v>658</v>
      </c>
    </row>
    <row r="118" spans="1:4" x14ac:dyDescent="0.2">
      <c r="A118" t="s">
        <v>33</v>
      </c>
      <c r="B118" t="s">
        <v>168</v>
      </c>
      <c r="C118" s="10">
        <v>45117</v>
      </c>
      <c r="D118" s="1" t="s">
        <v>658</v>
      </c>
    </row>
    <row r="119" spans="1:4" x14ac:dyDescent="0.2">
      <c r="A119" t="s">
        <v>36</v>
      </c>
      <c r="B119" t="s">
        <v>169</v>
      </c>
      <c r="C119" s="10">
        <v>45007</v>
      </c>
      <c r="D119" s="1" t="s">
        <v>658</v>
      </c>
    </row>
    <row r="120" spans="1:4" x14ac:dyDescent="0.2">
      <c r="A120" t="s">
        <v>39</v>
      </c>
      <c r="B120" t="s">
        <v>170</v>
      </c>
      <c r="C120" s="10">
        <v>45034</v>
      </c>
      <c r="D120" s="1" t="s">
        <v>658</v>
      </c>
    </row>
    <row r="121" spans="1:4" x14ac:dyDescent="0.2">
      <c r="A121" t="s">
        <v>40</v>
      </c>
      <c r="B121" t="s">
        <v>171</v>
      </c>
      <c r="C121" s="10">
        <v>45076</v>
      </c>
      <c r="D121" s="1" t="s">
        <v>658</v>
      </c>
    </row>
    <row r="122" spans="1:4" x14ac:dyDescent="0.2">
      <c r="A122" t="s">
        <v>41</v>
      </c>
      <c r="B122" t="s">
        <v>172</v>
      </c>
      <c r="C122" s="10">
        <v>44876</v>
      </c>
      <c r="D122" s="1" t="s">
        <v>658</v>
      </c>
    </row>
    <row r="123" spans="1:4" x14ac:dyDescent="0.2">
      <c r="A123" t="s">
        <v>42</v>
      </c>
      <c r="B123" t="s">
        <v>173</v>
      </c>
      <c r="C123" s="10">
        <v>44979</v>
      </c>
      <c r="D123" s="1" t="s">
        <v>658</v>
      </c>
    </row>
    <row r="124" spans="1:4" x14ac:dyDescent="0.2">
      <c r="A124" t="s">
        <v>50</v>
      </c>
      <c r="B124" t="s">
        <v>174</v>
      </c>
      <c r="C124" s="10">
        <v>44579</v>
      </c>
      <c r="D124" s="1" t="s">
        <v>659</v>
      </c>
    </row>
    <row r="125" spans="1:4" x14ac:dyDescent="0.2">
      <c r="A125" t="s">
        <v>15</v>
      </c>
      <c r="B125" t="s">
        <v>175</v>
      </c>
      <c r="C125" s="10">
        <v>44842</v>
      </c>
      <c r="D125" s="1" t="s">
        <v>659</v>
      </c>
    </row>
    <row r="126" spans="1:4" x14ac:dyDescent="0.2">
      <c r="A126" t="s">
        <v>16</v>
      </c>
      <c r="B126" t="s">
        <v>176</v>
      </c>
      <c r="C126" s="10">
        <v>44624</v>
      </c>
      <c r="D126" s="1" t="s">
        <v>659</v>
      </c>
    </row>
    <row r="127" spans="1:4" x14ac:dyDescent="0.2">
      <c r="A127" t="s">
        <v>17</v>
      </c>
      <c r="B127" t="s">
        <v>177</v>
      </c>
      <c r="C127" s="10">
        <v>44704</v>
      </c>
      <c r="D127" s="1" t="s">
        <v>659</v>
      </c>
    </row>
    <row r="128" spans="1:4" x14ac:dyDescent="0.2">
      <c r="A128" t="s">
        <v>21</v>
      </c>
      <c r="B128" t="s">
        <v>178</v>
      </c>
      <c r="C128" s="10">
        <v>44704</v>
      </c>
      <c r="D128" s="1" t="s">
        <v>659</v>
      </c>
    </row>
    <row r="129" spans="1:4" x14ac:dyDescent="0.2">
      <c r="A129" t="s">
        <v>24</v>
      </c>
      <c r="B129" t="s">
        <v>179</v>
      </c>
      <c r="C129" s="10">
        <v>44718</v>
      </c>
      <c r="D129" s="1" t="s">
        <v>659</v>
      </c>
    </row>
    <row r="130" spans="1:4" x14ac:dyDescent="0.2">
      <c r="A130" t="s">
        <v>29</v>
      </c>
      <c r="B130" t="s">
        <v>180</v>
      </c>
      <c r="C130" s="10">
        <v>44764</v>
      </c>
      <c r="D130" s="1" t="s">
        <v>659</v>
      </c>
    </row>
    <row r="131" spans="1:4" x14ac:dyDescent="0.2">
      <c r="A131" t="s">
        <v>33</v>
      </c>
      <c r="B131" t="s">
        <v>181</v>
      </c>
      <c r="C131" s="10">
        <v>44883</v>
      </c>
      <c r="D131" s="1" t="s">
        <v>659</v>
      </c>
    </row>
    <row r="132" spans="1:4" x14ac:dyDescent="0.2">
      <c r="A132" t="s">
        <v>34</v>
      </c>
      <c r="B132" t="s">
        <v>182</v>
      </c>
      <c r="C132" s="10">
        <v>45037</v>
      </c>
      <c r="D132" s="1" t="s">
        <v>659</v>
      </c>
    </row>
    <row r="133" spans="1:4" x14ac:dyDescent="0.2">
      <c r="A133" t="s">
        <v>37</v>
      </c>
      <c r="B133" t="s">
        <v>183</v>
      </c>
      <c r="C133" s="10">
        <v>44954</v>
      </c>
      <c r="D133" s="1" t="s">
        <v>659</v>
      </c>
    </row>
    <row r="134" spans="1:4" x14ac:dyDescent="0.2">
      <c r="A134" t="s">
        <v>50</v>
      </c>
      <c r="B134" t="s">
        <v>571</v>
      </c>
      <c r="C134" s="22">
        <v>44229</v>
      </c>
      <c r="D134" s="1" t="s">
        <v>660</v>
      </c>
    </row>
    <row r="135" spans="1:4" x14ac:dyDescent="0.2">
      <c r="A135" t="s">
        <v>13</v>
      </c>
      <c r="B135" t="s">
        <v>572</v>
      </c>
      <c r="C135" s="22">
        <v>44645</v>
      </c>
      <c r="D135" s="1" t="s">
        <v>660</v>
      </c>
    </row>
    <row r="136" spans="1:4" x14ac:dyDescent="0.2">
      <c r="A136" t="s">
        <v>14</v>
      </c>
      <c r="B136" t="s">
        <v>573</v>
      </c>
      <c r="C136" s="22">
        <v>44468</v>
      </c>
      <c r="D136" s="1" t="s">
        <v>660</v>
      </c>
    </row>
    <row r="137" spans="1:4" x14ac:dyDescent="0.2">
      <c r="A137" t="s">
        <v>15</v>
      </c>
      <c r="B137" s="20" t="s">
        <v>574</v>
      </c>
      <c r="C137" s="22" t="s">
        <v>575</v>
      </c>
      <c r="D137" s="1" t="s">
        <v>660</v>
      </c>
    </row>
    <row r="138" spans="1:4" x14ac:dyDescent="0.2">
      <c r="A138" t="s">
        <v>16</v>
      </c>
      <c r="B138" t="s">
        <v>576</v>
      </c>
      <c r="C138" s="22">
        <v>44315</v>
      </c>
      <c r="D138" s="1" t="s">
        <v>660</v>
      </c>
    </row>
    <row r="139" spans="1:4" x14ac:dyDescent="0.2">
      <c r="A139" t="s">
        <v>17</v>
      </c>
      <c r="B139" t="s">
        <v>577</v>
      </c>
      <c r="C139" s="19">
        <v>44672</v>
      </c>
      <c r="D139" s="1" t="s">
        <v>660</v>
      </c>
    </row>
    <row r="140" spans="1:4" x14ac:dyDescent="0.2">
      <c r="A140" t="s">
        <v>18</v>
      </c>
      <c r="B140" t="s">
        <v>578</v>
      </c>
      <c r="C140" s="19">
        <v>44516</v>
      </c>
      <c r="D140" s="1" t="s">
        <v>660</v>
      </c>
    </row>
    <row r="141" spans="1:4" x14ac:dyDescent="0.2">
      <c r="A141" t="s">
        <v>19</v>
      </c>
      <c r="B141" t="s">
        <v>579</v>
      </c>
      <c r="C141" s="22">
        <v>44440</v>
      </c>
      <c r="D141" s="1" t="s">
        <v>660</v>
      </c>
    </row>
    <row r="142" spans="1:4" x14ac:dyDescent="0.2">
      <c r="A142" t="s">
        <v>20</v>
      </c>
      <c r="B142" t="s">
        <v>580</v>
      </c>
      <c r="C142" s="22">
        <v>44561</v>
      </c>
      <c r="D142" s="1" t="s">
        <v>660</v>
      </c>
    </row>
    <row r="143" spans="1:4" x14ac:dyDescent="0.2">
      <c r="A143" t="s">
        <v>21</v>
      </c>
      <c r="B143" t="s">
        <v>581</v>
      </c>
      <c r="C143" s="22">
        <v>44585</v>
      </c>
      <c r="D143" s="1" t="s">
        <v>660</v>
      </c>
    </row>
    <row r="144" spans="1:4" x14ac:dyDescent="0.2">
      <c r="A144" t="s">
        <v>22</v>
      </c>
      <c r="B144" t="s">
        <v>582</v>
      </c>
      <c r="C144" s="22">
        <v>44516</v>
      </c>
      <c r="D144" s="1" t="s">
        <v>660</v>
      </c>
    </row>
    <row r="145" spans="1:4" x14ac:dyDescent="0.2">
      <c r="A145" t="s">
        <v>24</v>
      </c>
      <c r="B145" t="s">
        <v>583</v>
      </c>
      <c r="C145" s="22">
        <v>44453</v>
      </c>
      <c r="D145" s="1" t="s">
        <v>660</v>
      </c>
    </row>
    <row r="146" spans="1:4" x14ac:dyDescent="0.2">
      <c r="A146" t="s">
        <v>25</v>
      </c>
      <c r="B146" t="s">
        <v>584</v>
      </c>
      <c r="C146" s="22">
        <v>44385</v>
      </c>
      <c r="D146" s="1" t="s">
        <v>660</v>
      </c>
    </row>
    <row r="147" spans="1:4" x14ac:dyDescent="0.2">
      <c r="A147" t="s">
        <v>26</v>
      </c>
      <c r="B147" t="s">
        <v>585</v>
      </c>
      <c r="C147" s="22">
        <v>44629</v>
      </c>
      <c r="D147" s="1" t="s">
        <v>660</v>
      </c>
    </row>
    <row r="148" spans="1:4" x14ac:dyDescent="0.2">
      <c r="A148" t="s">
        <v>27</v>
      </c>
      <c r="B148" t="s">
        <v>586</v>
      </c>
      <c r="C148" s="22">
        <v>44420</v>
      </c>
      <c r="D148" s="1" t="s">
        <v>660</v>
      </c>
    </row>
    <row r="149" spans="1:4" x14ac:dyDescent="0.2">
      <c r="A149" t="s">
        <v>28</v>
      </c>
      <c r="B149" t="s">
        <v>597</v>
      </c>
      <c r="C149" s="22">
        <v>44486</v>
      </c>
      <c r="D149" s="1" t="s">
        <v>660</v>
      </c>
    </row>
    <row r="150" spans="1:4" x14ac:dyDescent="0.2">
      <c r="A150" t="s">
        <v>30</v>
      </c>
      <c r="B150" t="s">
        <v>587</v>
      </c>
      <c r="C150" s="22">
        <v>44533</v>
      </c>
      <c r="D150" s="1" t="s">
        <v>660</v>
      </c>
    </row>
    <row r="151" spans="1:4" x14ac:dyDescent="0.2">
      <c r="A151" t="s">
        <v>31</v>
      </c>
      <c r="B151" t="s">
        <v>588</v>
      </c>
      <c r="C151" s="22">
        <v>44540</v>
      </c>
      <c r="D151" s="1" t="s">
        <v>660</v>
      </c>
    </row>
    <row r="152" spans="1:4" x14ac:dyDescent="0.2">
      <c r="A152" t="s">
        <v>33</v>
      </c>
      <c r="B152" t="s">
        <v>589</v>
      </c>
      <c r="C152" s="22">
        <v>44884</v>
      </c>
      <c r="D152" s="1" t="s">
        <v>660</v>
      </c>
    </row>
    <row r="153" spans="1:4" x14ac:dyDescent="0.2">
      <c r="A153" t="s">
        <v>34</v>
      </c>
      <c r="B153" t="s">
        <v>590</v>
      </c>
      <c r="C153" s="22">
        <v>44567</v>
      </c>
      <c r="D153" s="1" t="s">
        <v>660</v>
      </c>
    </row>
    <row r="154" spans="1:4" x14ac:dyDescent="0.2">
      <c r="A154" t="s">
        <v>35</v>
      </c>
      <c r="B154" t="s">
        <v>591</v>
      </c>
      <c r="C154" s="22">
        <v>44456</v>
      </c>
      <c r="D154" s="1" t="s">
        <v>660</v>
      </c>
    </row>
    <row r="155" spans="1:4" x14ac:dyDescent="0.2">
      <c r="A155" t="s">
        <v>36</v>
      </c>
      <c r="B155" t="s">
        <v>592</v>
      </c>
      <c r="C155" s="22">
        <v>44420</v>
      </c>
      <c r="D155" s="1" t="s">
        <v>660</v>
      </c>
    </row>
    <row r="156" spans="1:4" x14ac:dyDescent="0.2">
      <c r="A156" t="s">
        <v>37</v>
      </c>
      <c r="B156" t="s">
        <v>593</v>
      </c>
      <c r="C156" s="22">
        <v>44550</v>
      </c>
      <c r="D156" s="1" t="s">
        <v>660</v>
      </c>
    </row>
    <row r="157" spans="1:4" x14ac:dyDescent="0.2">
      <c r="A157" t="s">
        <v>39</v>
      </c>
      <c r="B157" t="s">
        <v>594</v>
      </c>
      <c r="C157" s="22">
        <v>44456</v>
      </c>
      <c r="D157" s="1" t="s">
        <v>660</v>
      </c>
    </row>
    <row r="158" spans="1:4" x14ac:dyDescent="0.2">
      <c r="A158" t="s">
        <v>40</v>
      </c>
      <c r="B158" t="s">
        <v>595</v>
      </c>
      <c r="C158" s="22">
        <v>44451</v>
      </c>
      <c r="D158" s="1" t="s">
        <v>660</v>
      </c>
    </row>
    <row r="159" spans="1:4" x14ac:dyDescent="0.2">
      <c r="A159" t="s">
        <v>41</v>
      </c>
      <c r="B159" t="s">
        <v>596</v>
      </c>
      <c r="C159" s="22">
        <v>44561</v>
      </c>
      <c r="D159" s="1" t="s">
        <v>660</v>
      </c>
    </row>
    <row r="160" spans="1:4" x14ac:dyDescent="0.2">
      <c r="A160" t="s">
        <v>50</v>
      </c>
      <c r="B160" t="s">
        <v>598</v>
      </c>
      <c r="C160" s="10">
        <v>44591</v>
      </c>
      <c r="D160" s="1" t="s">
        <v>661</v>
      </c>
    </row>
    <row r="161" spans="1:4" x14ac:dyDescent="0.2">
      <c r="A161" t="s">
        <v>17</v>
      </c>
      <c r="B161" t="s">
        <v>599</v>
      </c>
      <c r="C161" s="10">
        <v>44823</v>
      </c>
      <c r="D161" s="1" t="s">
        <v>661</v>
      </c>
    </row>
    <row r="162" spans="1:4" x14ac:dyDescent="0.2">
      <c r="A162" t="s">
        <v>22</v>
      </c>
      <c r="B162" t="s">
        <v>600</v>
      </c>
      <c r="C162" s="10">
        <v>44900</v>
      </c>
      <c r="D162" s="1" t="s">
        <v>661</v>
      </c>
    </row>
    <row r="163" spans="1:4" x14ac:dyDescent="0.2">
      <c r="A163" t="s">
        <v>24</v>
      </c>
      <c r="B163" t="s">
        <v>601</v>
      </c>
      <c r="C163" s="10">
        <v>45062</v>
      </c>
      <c r="D163" s="1" t="s">
        <v>661</v>
      </c>
    </row>
    <row r="164" spans="1:4" x14ac:dyDescent="0.2">
      <c r="A164" t="s">
        <v>29</v>
      </c>
      <c r="B164" t="s">
        <v>602</v>
      </c>
      <c r="C164" s="10">
        <v>44825</v>
      </c>
      <c r="D164" s="1" t="s">
        <v>661</v>
      </c>
    </row>
    <row r="165" spans="1:4" x14ac:dyDescent="0.2">
      <c r="A165" t="s">
        <v>37</v>
      </c>
      <c r="B165" t="s">
        <v>603</v>
      </c>
      <c r="C165" s="10">
        <v>44767</v>
      </c>
      <c r="D165" s="1" t="s">
        <v>661</v>
      </c>
    </row>
    <row r="166" spans="1:4" x14ac:dyDescent="0.2">
      <c r="A166" t="s">
        <v>40</v>
      </c>
      <c r="B166" t="s">
        <v>604</v>
      </c>
      <c r="C166" s="10">
        <v>45147</v>
      </c>
      <c r="D166" s="1" t="s">
        <v>661</v>
      </c>
    </row>
    <row r="167" spans="1:4" x14ac:dyDescent="0.2">
      <c r="A167" t="s">
        <v>50</v>
      </c>
      <c r="B167" s="24" t="s">
        <v>617</v>
      </c>
      <c r="C167" s="10">
        <v>44875</v>
      </c>
      <c r="D167" s="1" t="s">
        <v>662</v>
      </c>
    </row>
    <row r="168" spans="1:4" x14ac:dyDescent="0.2">
      <c r="A168" t="s">
        <v>35</v>
      </c>
      <c r="B168" t="s">
        <v>618</v>
      </c>
      <c r="C168" s="10">
        <v>45294</v>
      </c>
      <c r="D168" s="1" t="s">
        <v>662</v>
      </c>
    </row>
    <row r="169" spans="1:4" x14ac:dyDescent="0.2">
      <c r="A169" t="s">
        <v>24</v>
      </c>
      <c r="B169" t="s">
        <v>619</v>
      </c>
      <c r="C169" s="10">
        <v>45363</v>
      </c>
      <c r="D169" s="1" t="s">
        <v>662</v>
      </c>
    </row>
    <row r="170" spans="1:4" x14ac:dyDescent="0.2">
      <c r="A170" t="s">
        <v>33</v>
      </c>
      <c r="B170" t="s">
        <v>620</v>
      </c>
      <c r="C170" s="10">
        <v>45093</v>
      </c>
      <c r="D170" s="1" t="s">
        <v>662</v>
      </c>
    </row>
    <row r="171" spans="1:4" x14ac:dyDescent="0.2">
      <c r="A171" t="s">
        <v>29</v>
      </c>
      <c r="B171" t="s">
        <v>621</v>
      </c>
      <c r="C171" s="10">
        <v>44925</v>
      </c>
      <c r="D171" s="1" t="s">
        <v>662</v>
      </c>
    </row>
    <row r="172" spans="1:4" x14ac:dyDescent="0.2">
      <c r="A172" t="s">
        <v>25</v>
      </c>
      <c r="B172" t="s">
        <v>622</v>
      </c>
      <c r="C172" s="10">
        <v>44955</v>
      </c>
      <c r="D172" s="1" t="s">
        <v>662</v>
      </c>
    </row>
    <row r="173" spans="1:4" x14ac:dyDescent="0.2">
      <c r="A173" t="s">
        <v>32</v>
      </c>
      <c r="B173" t="s">
        <v>623</v>
      </c>
      <c r="C173" s="10">
        <v>45422</v>
      </c>
      <c r="D173" s="1" t="s">
        <v>662</v>
      </c>
    </row>
    <row r="174" spans="1:4" x14ac:dyDescent="0.2">
      <c r="A174" t="s">
        <v>34</v>
      </c>
      <c r="B174" t="s">
        <v>624</v>
      </c>
      <c r="C174" s="10">
        <v>45313</v>
      </c>
      <c r="D174" s="1" t="s">
        <v>662</v>
      </c>
    </row>
    <row r="175" spans="1:4" x14ac:dyDescent="0.2">
      <c r="A175" t="s">
        <v>50</v>
      </c>
      <c r="B175" t="s">
        <v>605</v>
      </c>
      <c r="C175" s="10">
        <v>44867</v>
      </c>
      <c r="D175" s="1" t="s">
        <v>663</v>
      </c>
    </row>
    <row r="176" spans="1:4" x14ac:dyDescent="0.2">
      <c r="A176" t="s">
        <v>22</v>
      </c>
      <c r="B176" t="s">
        <v>606</v>
      </c>
      <c r="C176" s="10">
        <v>45274</v>
      </c>
      <c r="D176" s="1" t="s">
        <v>663</v>
      </c>
    </row>
    <row r="177" spans="1:4" x14ac:dyDescent="0.2">
      <c r="A177" t="s">
        <v>24</v>
      </c>
      <c r="B177" t="s">
        <v>607</v>
      </c>
      <c r="C177" s="10">
        <v>45364</v>
      </c>
      <c r="D177" s="1" t="s">
        <v>663</v>
      </c>
    </row>
    <row r="178" spans="1:4" x14ac:dyDescent="0.2">
      <c r="A178" t="s">
        <v>25</v>
      </c>
      <c r="B178" t="s">
        <v>608</v>
      </c>
      <c r="C178" s="10">
        <v>44921</v>
      </c>
      <c r="D178" s="1" t="s">
        <v>663</v>
      </c>
    </row>
    <row r="179" spans="1:4" x14ac:dyDescent="0.2">
      <c r="A179" t="s">
        <v>26</v>
      </c>
      <c r="B179" t="s">
        <v>609</v>
      </c>
      <c r="C179" s="10">
        <v>45135</v>
      </c>
      <c r="D179" s="1" t="s">
        <v>663</v>
      </c>
    </row>
    <row r="180" spans="1:4" x14ac:dyDescent="0.2">
      <c r="A180" t="s">
        <v>27</v>
      </c>
      <c r="B180" t="s">
        <v>610</v>
      </c>
      <c r="C180" s="10">
        <v>45342</v>
      </c>
      <c r="D180" s="1" t="s">
        <v>663</v>
      </c>
    </row>
    <row r="181" spans="1:4" x14ac:dyDescent="0.2">
      <c r="A181" t="s">
        <v>29</v>
      </c>
      <c r="B181" t="s">
        <v>611</v>
      </c>
      <c r="C181" s="10">
        <v>44925</v>
      </c>
      <c r="D181" s="1" t="s">
        <v>663</v>
      </c>
    </row>
    <row r="182" spans="1:4" x14ac:dyDescent="0.2">
      <c r="A182" t="s">
        <v>32</v>
      </c>
      <c r="B182" t="s">
        <v>612</v>
      </c>
      <c r="C182" s="10">
        <v>45400</v>
      </c>
      <c r="D182" s="1" t="s">
        <v>663</v>
      </c>
    </row>
    <row r="183" spans="1:4" x14ac:dyDescent="0.2">
      <c r="A183" t="s">
        <v>33</v>
      </c>
      <c r="B183" t="s">
        <v>613</v>
      </c>
      <c r="C183" s="10">
        <v>45090</v>
      </c>
      <c r="D183" s="1" t="s">
        <v>663</v>
      </c>
    </row>
    <row r="184" spans="1:4" x14ac:dyDescent="0.2">
      <c r="A184" t="s">
        <v>34</v>
      </c>
      <c r="B184" t="s">
        <v>614</v>
      </c>
      <c r="C184" s="10">
        <v>45316</v>
      </c>
      <c r="D184" s="1" t="s">
        <v>663</v>
      </c>
    </row>
    <row r="185" spans="1:4" x14ac:dyDescent="0.2">
      <c r="A185" t="s">
        <v>35</v>
      </c>
      <c r="B185" t="s">
        <v>615</v>
      </c>
      <c r="C185" s="10">
        <v>45321</v>
      </c>
      <c r="D185" s="1" t="s">
        <v>663</v>
      </c>
    </row>
    <row r="186" spans="1:4" x14ac:dyDescent="0.2">
      <c r="A186" t="s">
        <v>42</v>
      </c>
      <c r="B186" t="s">
        <v>616</v>
      </c>
      <c r="C186" s="10">
        <v>45146</v>
      </c>
      <c r="D186" s="1" t="s">
        <v>663</v>
      </c>
    </row>
    <row r="187" spans="1:4" x14ac:dyDescent="0.2">
      <c r="A187" t="s">
        <v>50</v>
      </c>
      <c r="B187" t="s">
        <v>625</v>
      </c>
      <c r="C187" s="10">
        <v>44852</v>
      </c>
      <c r="D187" s="1" t="s">
        <v>664</v>
      </c>
    </row>
    <row r="188" spans="1:4" x14ac:dyDescent="0.2">
      <c r="A188" t="s">
        <v>13</v>
      </c>
      <c r="B188" t="s">
        <v>626</v>
      </c>
      <c r="C188" s="10">
        <v>44963</v>
      </c>
      <c r="D188" s="1" t="s">
        <v>664</v>
      </c>
    </row>
    <row r="189" spans="1:4" x14ac:dyDescent="0.2">
      <c r="A189" t="s">
        <v>16</v>
      </c>
      <c r="B189" t="s">
        <v>627</v>
      </c>
      <c r="C189" s="10">
        <v>45022</v>
      </c>
      <c r="D189" s="1" t="s">
        <v>664</v>
      </c>
    </row>
    <row r="190" spans="1:4" x14ac:dyDescent="0.2">
      <c r="A190" t="s">
        <v>29</v>
      </c>
      <c r="B190" t="s">
        <v>628</v>
      </c>
      <c r="C190" s="10">
        <v>45176</v>
      </c>
      <c r="D190" s="1" t="s">
        <v>664</v>
      </c>
    </row>
    <row r="191" spans="1:4" x14ac:dyDescent="0.2">
      <c r="A191" t="s">
        <v>25</v>
      </c>
      <c r="B191" t="s">
        <v>629</v>
      </c>
      <c r="C191" s="10">
        <v>45169</v>
      </c>
      <c r="D191" s="1" t="s">
        <v>664</v>
      </c>
    </row>
    <row r="192" spans="1:4" x14ac:dyDescent="0.2">
      <c r="A192" t="s">
        <v>39</v>
      </c>
      <c r="B192" t="s">
        <v>630</v>
      </c>
      <c r="C192" s="10">
        <v>44971</v>
      </c>
      <c r="D192" s="1" t="s">
        <v>664</v>
      </c>
    </row>
    <row r="193" spans="1:4" x14ac:dyDescent="0.2">
      <c r="A193" t="s">
        <v>26</v>
      </c>
      <c r="B193" t="s">
        <v>631</v>
      </c>
      <c r="C193" s="10">
        <v>45043</v>
      </c>
      <c r="D193" s="1" t="s">
        <v>664</v>
      </c>
    </row>
    <row r="194" spans="1:4" x14ac:dyDescent="0.2">
      <c r="A194" t="s">
        <v>14</v>
      </c>
      <c r="B194" t="s">
        <v>632</v>
      </c>
      <c r="C194" s="10">
        <v>44977</v>
      </c>
      <c r="D194" s="1" t="s">
        <v>664</v>
      </c>
    </row>
    <row r="195" spans="1:4" x14ac:dyDescent="0.2">
      <c r="A195" t="s">
        <v>42</v>
      </c>
      <c r="B195" t="s">
        <v>633</v>
      </c>
      <c r="C195" s="10">
        <v>44971</v>
      </c>
      <c r="D195" s="1" t="s">
        <v>664</v>
      </c>
    </row>
    <row r="196" spans="1:4" x14ac:dyDescent="0.2">
      <c r="A196" t="s">
        <v>50</v>
      </c>
      <c r="B196" t="s">
        <v>634</v>
      </c>
      <c r="C196" s="10">
        <v>44706</v>
      </c>
      <c r="D196" s="1" t="s">
        <v>665</v>
      </c>
    </row>
    <row r="197" spans="1:4" x14ac:dyDescent="0.2">
      <c r="A197" t="s">
        <v>24</v>
      </c>
      <c r="B197" t="s">
        <v>635</v>
      </c>
      <c r="C197" s="10">
        <v>44918</v>
      </c>
      <c r="D197" s="1" t="s">
        <v>665</v>
      </c>
    </row>
    <row r="198" spans="1:4" x14ac:dyDescent="0.2">
      <c r="A198" t="s">
        <v>21</v>
      </c>
      <c r="B198" t="s">
        <v>636</v>
      </c>
      <c r="C198" s="10">
        <v>45020</v>
      </c>
      <c r="D198" s="1" t="s">
        <v>665</v>
      </c>
    </row>
    <row r="199" spans="1:4" x14ac:dyDescent="0.2">
      <c r="A199" t="s">
        <v>31</v>
      </c>
      <c r="B199" t="s">
        <v>637</v>
      </c>
      <c r="C199" s="10">
        <v>45126</v>
      </c>
      <c r="D199" s="1" t="s">
        <v>665</v>
      </c>
    </row>
    <row r="200" spans="1:4" x14ac:dyDescent="0.2">
      <c r="A200" t="s">
        <v>29</v>
      </c>
      <c r="B200" t="s">
        <v>638</v>
      </c>
      <c r="C200" s="10">
        <v>44865</v>
      </c>
      <c r="D200" s="1" t="s">
        <v>665</v>
      </c>
    </row>
    <row r="201" spans="1:4" x14ac:dyDescent="0.2">
      <c r="A201" t="s">
        <v>41</v>
      </c>
      <c r="B201" t="s">
        <v>639</v>
      </c>
      <c r="C201" s="10">
        <v>44911</v>
      </c>
      <c r="D201" s="1" t="s">
        <v>665</v>
      </c>
    </row>
    <row r="202" spans="1:4" x14ac:dyDescent="0.2">
      <c r="A202" t="s">
        <v>35</v>
      </c>
      <c r="B202" t="s">
        <v>640</v>
      </c>
      <c r="C202" s="10">
        <v>44963</v>
      </c>
      <c r="D202" s="1" t="s">
        <v>665</v>
      </c>
    </row>
    <row r="203" spans="1:4" x14ac:dyDescent="0.2">
      <c r="A203" t="s">
        <v>14</v>
      </c>
      <c r="B203" t="s">
        <v>641</v>
      </c>
      <c r="C203" s="10">
        <v>45264</v>
      </c>
      <c r="D203" s="1" t="s">
        <v>665</v>
      </c>
    </row>
    <row r="204" spans="1:4" x14ac:dyDescent="0.2">
      <c r="A204" t="s">
        <v>32</v>
      </c>
      <c r="B204" t="s">
        <v>642</v>
      </c>
      <c r="C204" s="10">
        <v>45037</v>
      </c>
      <c r="D204" s="1" t="s">
        <v>665</v>
      </c>
    </row>
    <row r="205" spans="1:4" x14ac:dyDescent="0.2">
      <c r="A205" t="s">
        <v>13</v>
      </c>
      <c r="B205" t="s">
        <v>643</v>
      </c>
      <c r="C205" s="10">
        <v>44903</v>
      </c>
      <c r="D205" s="1" t="s">
        <v>665</v>
      </c>
    </row>
    <row r="206" spans="1:4" x14ac:dyDescent="0.2">
      <c r="A206" t="s">
        <v>22</v>
      </c>
      <c r="B206" t="s">
        <v>644</v>
      </c>
      <c r="C206" s="10">
        <v>44725</v>
      </c>
      <c r="D206" s="1" t="s">
        <v>665</v>
      </c>
    </row>
    <row r="207" spans="1:4" x14ac:dyDescent="0.2">
      <c r="A207" t="s">
        <v>12</v>
      </c>
      <c r="B207" t="s">
        <v>645</v>
      </c>
      <c r="C207" s="10" t="s">
        <v>646</v>
      </c>
      <c r="D207" s="1" t="s">
        <v>665</v>
      </c>
    </row>
    <row r="208" spans="1:4" x14ac:dyDescent="0.2">
      <c r="A208" t="s">
        <v>16</v>
      </c>
      <c r="B208" t="s">
        <v>647</v>
      </c>
      <c r="C208" s="10">
        <v>44957</v>
      </c>
      <c r="D208" s="1" t="s">
        <v>665</v>
      </c>
    </row>
    <row r="209" spans="1:4" x14ac:dyDescent="0.2">
      <c r="A209" t="s">
        <v>18</v>
      </c>
      <c r="B209" t="s">
        <v>648</v>
      </c>
      <c r="C209" s="10">
        <v>44910</v>
      </c>
      <c r="D209" s="1" t="s">
        <v>665</v>
      </c>
    </row>
    <row r="210" spans="1:4" x14ac:dyDescent="0.2">
      <c r="A210" t="s">
        <v>19</v>
      </c>
      <c r="B210" t="s">
        <v>649</v>
      </c>
      <c r="C210" s="10">
        <v>45112</v>
      </c>
      <c r="D210" s="1" t="s">
        <v>665</v>
      </c>
    </row>
    <row r="211" spans="1:4" x14ac:dyDescent="0.2">
      <c r="A211" t="s">
        <v>23</v>
      </c>
      <c r="B211" t="s">
        <v>650</v>
      </c>
      <c r="C211" s="10">
        <v>44955</v>
      </c>
      <c r="D211" s="1" t="s">
        <v>665</v>
      </c>
    </row>
    <row r="212" spans="1:4" x14ac:dyDescent="0.2">
      <c r="A212" t="s">
        <v>26</v>
      </c>
      <c r="B212" t="s">
        <v>651</v>
      </c>
      <c r="C212" s="10">
        <v>44835</v>
      </c>
      <c r="D212" s="1" t="s">
        <v>665</v>
      </c>
    </row>
    <row r="213" spans="1:4" x14ac:dyDescent="0.2">
      <c r="A213" t="s">
        <v>27</v>
      </c>
      <c r="B213" t="s">
        <v>652</v>
      </c>
      <c r="C213" s="10">
        <v>44967</v>
      </c>
      <c r="D213" s="1" t="s">
        <v>665</v>
      </c>
    </row>
    <row r="214" spans="1:4" x14ac:dyDescent="0.2">
      <c r="A214" t="s">
        <v>36</v>
      </c>
      <c r="B214" t="s">
        <v>653</v>
      </c>
      <c r="C214" s="10">
        <v>45009</v>
      </c>
      <c r="D214" s="1" t="s">
        <v>665</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CAB25-CC87-49D6-990F-1F1A258EBFC0}">
  <dimension ref="A1:E26"/>
  <sheetViews>
    <sheetView tabSelected="1" workbookViewId="0">
      <selection activeCell="E24" sqref="E24"/>
    </sheetView>
  </sheetViews>
  <sheetFormatPr defaultRowHeight="14.25" x14ac:dyDescent="0.2"/>
  <cols>
    <col min="1" max="1" width="8.875" style="1"/>
    <col min="2" max="2" width="31.5" style="1" bestFit="1" customWidth="1"/>
    <col min="3" max="3" width="16.125" style="6" bestFit="1" customWidth="1"/>
    <col min="4" max="4" width="8.875" style="1"/>
  </cols>
  <sheetData>
    <row r="1" spans="1:5" x14ac:dyDescent="0.2">
      <c r="A1" s="4" t="s">
        <v>46</v>
      </c>
      <c r="B1" s="4" t="s">
        <v>47</v>
      </c>
      <c r="C1" s="8" t="s">
        <v>48</v>
      </c>
      <c r="D1" s="4" t="s">
        <v>49</v>
      </c>
      <c r="E1" s="4" t="s">
        <v>54</v>
      </c>
    </row>
    <row r="2" spans="1:5" x14ac:dyDescent="0.2">
      <c r="A2" s="1" t="s">
        <v>50</v>
      </c>
      <c r="B2" s="1" t="s">
        <v>51</v>
      </c>
      <c r="C2" s="28">
        <v>44493</v>
      </c>
    </row>
    <row r="3" spans="1:5" x14ac:dyDescent="0.2">
      <c r="A3" s="1" t="s">
        <v>36</v>
      </c>
      <c r="B3" s="1" t="s">
        <v>72</v>
      </c>
      <c r="C3" s="28">
        <v>44721</v>
      </c>
    </row>
    <row r="4" spans="1:5" x14ac:dyDescent="0.2">
      <c r="A4" s="1" t="s">
        <v>16</v>
      </c>
      <c r="B4" s="1" t="s">
        <v>56</v>
      </c>
      <c r="C4" s="28">
        <v>44731</v>
      </c>
    </row>
    <row r="5" spans="1:5" x14ac:dyDescent="0.2">
      <c r="A5" s="1" t="s">
        <v>30</v>
      </c>
      <c r="B5" s="1" t="s">
        <v>66</v>
      </c>
      <c r="C5" s="28">
        <v>44735</v>
      </c>
    </row>
    <row r="6" spans="1:5" x14ac:dyDescent="0.2">
      <c r="A6" s="1" t="s">
        <v>14</v>
      </c>
      <c r="B6" s="1" t="s">
        <v>55</v>
      </c>
      <c r="C6" s="28">
        <v>44750</v>
      </c>
    </row>
    <row r="7" spans="1:5" x14ac:dyDescent="0.2">
      <c r="A7" s="1" t="s">
        <v>25</v>
      </c>
      <c r="B7" s="1" t="s">
        <v>62</v>
      </c>
      <c r="C7" s="28">
        <v>44750</v>
      </c>
    </row>
    <row r="8" spans="1:5" x14ac:dyDescent="0.2">
      <c r="A8" s="1" t="s">
        <v>19</v>
      </c>
      <c r="B8" s="1" t="s">
        <v>59</v>
      </c>
      <c r="C8" s="28">
        <v>44764</v>
      </c>
    </row>
    <row r="9" spans="1:5" x14ac:dyDescent="0.2">
      <c r="A9" s="1" t="s">
        <v>35</v>
      </c>
      <c r="B9" s="1" t="s">
        <v>71</v>
      </c>
      <c r="C9" s="28">
        <v>44764</v>
      </c>
    </row>
    <row r="10" spans="1:5" x14ac:dyDescent="0.2">
      <c r="A10" s="1" t="s">
        <v>31</v>
      </c>
      <c r="B10" s="1" t="s">
        <v>67</v>
      </c>
      <c r="C10" s="28">
        <v>44782</v>
      </c>
    </row>
    <row r="11" spans="1:5" x14ac:dyDescent="0.2">
      <c r="A11" s="1" t="s">
        <v>34</v>
      </c>
      <c r="B11" s="1" t="s">
        <v>70</v>
      </c>
      <c r="C11" s="28">
        <v>44784</v>
      </c>
    </row>
    <row r="12" spans="1:5" x14ac:dyDescent="0.2">
      <c r="A12" s="1" t="s">
        <v>13</v>
      </c>
      <c r="B12" s="1" t="s">
        <v>53</v>
      </c>
      <c r="C12" s="28">
        <v>44798</v>
      </c>
    </row>
    <row r="13" spans="1:5" x14ac:dyDescent="0.2">
      <c r="A13" s="1" t="s">
        <v>18</v>
      </c>
      <c r="B13" s="1" t="s">
        <v>58</v>
      </c>
      <c r="C13" s="28">
        <v>44816</v>
      </c>
    </row>
    <row r="14" spans="1:5" x14ac:dyDescent="0.2">
      <c r="A14" s="1" t="s">
        <v>23</v>
      </c>
      <c r="B14" s="1" t="s">
        <v>61</v>
      </c>
      <c r="C14" s="28">
        <v>44827</v>
      </c>
    </row>
    <row r="15" spans="1:5" x14ac:dyDescent="0.2">
      <c r="A15" s="1" t="s">
        <v>41</v>
      </c>
      <c r="B15" s="1" t="s">
        <v>76</v>
      </c>
      <c r="C15" s="28">
        <v>44834</v>
      </c>
    </row>
    <row r="16" spans="1:5" x14ac:dyDescent="0.2">
      <c r="A16" s="1" t="s">
        <v>21</v>
      </c>
      <c r="B16" s="1" t="s">
        <v>60</v>
      </c>
      <c r="C16" s="28">
        <v>44836</v>
      </c>
    </row>
    <row r="17" spans="1:3" x14ac:dyDescent="0.2">
      <c r="A17" s="1" t="s">
        <v>12</v>
      </c>
      <c r="B17" s="1" t="s">
        <v>52</v>
      </c>
      <c r="C17" s="28">
        <v>44845</v>
      </c>
    </row>
    <row r="18" spans="1:3" x14ac:dyDescent="0.2">
      <c r="A18" s="1" t="s">
        <v>29</v>
      </c>
      <c r="B18" s="1" t="s">
        <v>65</v>
      </c>
      <c r="C18" s="28">
        <v>44862</v>
      </c>
    </row>
    <row r="19" spans="1:3" x14ac:dyDescent="0.2">
      <c r="A19" s="1" t="s">
        <v>33</v>
      </c>
      <c r="B19" s="1" t="s">
        <v>69</v>
      </c>
      <c r="C19" s="28">
        <v>44869</v>
      </c>
    </row>
    <row r="20" spans="1:3" x14ac:dyDescent="0.2">
      <c r="A20" s="1" t="s">
        <v>39</v>
      </c>
      <c r="B20" s="1" t="s">
        <v>74</v>
      </c>
      <c r="C20" s="28">
        <v>44883</v>
      </c>
    </row>
    <row r="21" spans="1:3" x14ac:dyDescent="0.2">
      <c r="A21" s="1" t="s">
        <v>26</v>
      </c>
      <c r="B21" s="1" t="s">
        <v>63</v>
      </c>
      <c r="C21" s="28">
        <v>44913</v>
      </c>
    </row>
    <row r="22" spans="1:3" x14ac:dyDescent="0.2">
      <c r="A22" s="1" t="s">
        <v>37</v>
      </c>
      <c r="B22" s="1" t="s">
        <v>73</v>
      </c>
      <c r="C22" s="28">
        <v>44913</v>
      </c>
    </row>
    <row r="23" spans="1:3" x14ac:dyDescent="0.2">
      <c r="A23" s="1" t="s">
        <v>40</v>
      </c>
      <c r="B23" s="1" t="s">
        <v>75</v>
      </c>
      <c r="C23" s="28">
        <v>44924</v>
      </c>
    </row>
    <row r="24" spans="1:3" x14ac:dyDescent="0.2">
      <c r="A24" s="1" t="s">
        <v>32</v>
      </c>
      <c r="B24" s="1" t="s">
        <v>68</v>
      </c>
      <c r="C24" s="28">
        <v>44926</v>
      </c>
    </row>
    <row r="25" spans="1:3" x14ac:dyDescent="0.2">
      <c r="A25" s="1" t="s">
        <v>17</v>
      </c>
      <c r="B25" s="1" t="s">
        <v>57</v>
      </c>
      <c r="C25" s="28">
        <v>44931</v>
      </c>
    </row>
    <row r="26" spans="1:3" x14ac:dyDescent="0.2">
      <c r="A26" s="1" t="s">
        <v>27</v>
      </c>
      <c r="B26" s="1" t="s">
        <v>64</v>
      </c>
      <c r="C26" s="28">
        <v>44963</v>
      </c>
    </row>
  </sheetData>
  <sortState xmlns:xlrd2="http://schemas.microsoft.com/office/spreadsheetml/2017/richdata2" ref="A2:E26">
    <sortCondition ref="C1:C26"/>
  </sortState>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615C-DD73-46B7-8103-EA7FB205CF18}">
  <dimension ref="A1:E22"/>
  <sheetViews>
    <sheetView zoomScale="115" zoomScaleNormal="115" workbookViewId="0">
      <selection activeCell="C1" sqref="C1:C1048576"/>
    </sheetView>
  </sheetViews>
  <sheetFormatPr defaultRowHeight="14.25" x14ac:dyDescent="0.2"/>
  <cols>
    <col min="2" max="2" width="81.875" style="7" bestFit="1" customWidth="1"/>
    <col min="3" max="3" width="11.25" style="6" bestFit="1" customWidth="1"/>
  </cols>
  <sheetData>
    <row r="1" spans="1:5" x14ac:dyDescent="0.2">
      <c r="A1" s="4" t="s">
        <v>46</v>
      </c>
      <c r="B1" s="9" t="s">
        <v>47</v>
      </c>
      <c r="C1" s="8" t="s">
        <v>48</v>
      </c>
      <c r="D1" s="4" t="s">
        <v>49</v>
      </c>
      <c r="E1" s="4" t="s">
        <v>54</v>
      </c>
    </row>
    <row r="2" spans="1:5" x14ac:dyDescent="0.2">
      <c r="A2" t="s">
        <v>50</v>
      </c>
      <c r="B2" s="7" t="s">
        <v>77</v>
      </c>
      <c r="C2" s="6">
        <v>44461</v>
      </c>
    </row>
    <row r="3" spans="1:5" x14ac:dyDescent="0.2">
      <c r="A3" t="s">
        <v>19</v>
      </c>
      <c r="B3" s="7" t="s">
        <v>82</v>
      </c>
      <c r="C3" s="6">
        <v>44530</v>
      </c>
    </row>
    <row r="4" spans="1:5" x14ac:dyDescent="0.2">
      <c r="A4" t="s">
        <v>16</v>
      </c>
      <c r="B4" s="7" t="s">
        <v>80</v>
      </c>
      <c r="C4" s="6">
        <v>44566</v>
      </c>
    </row>
    <row r="5" spans="1:5" x14ac:dyDescent="0.2">
      <c r="A5" t="s">
        <v>41</v>
      </c>
      <c r="B5" s="7" t="s">
        <v>96</v>
      </c>
      <c r="C5" s="6">
        <v>44569</v>
      </c>
    </row>
    <row r="6" spans="1:5" x14ac:dyDescent="0.2">
      <c r="A6" t="s">
        <v>21</v>
      </c>
      <c r="B6" s="7" t="s">
        <v>83</v>
      </c>
      <c r="C6" s="6">
        <v>44576</v>
      </c>
    </row>
    <row r="7" spans="1:5" x14ac:dyDescent="0.2">
      <c r="A7" t="s">
        <v>22</v>
      </c>
      <c r="B7" s="7" t="s">
        <v>84</v>
      </c>
      <c r="C7" s="6">
        <v>44609</v>
      </c>
    </row>
    <row r="8" spans="1:5" x14ac:dyDescent="0.2">
      <c r="A8" t="s">
        <v>29</v>
      </c>
      <c r="B8" s="7" t="s">
        <v>88</v>
      </c>
      <c r="C8" s="6">
        <v>44633</v>
      </c>
    </row>
    <row r="9" spans="1:5" x14ac:dyDescent="0.2">
      <c r="A9" t="s">
        <v>37</v>
      </c>
      <c r="B9" s="7" t="s">
        <v>93</v>
      </c>
      <c r="C9" s="6">
        <v>44633</v>
      </c>
    </row>
    <row r="10" spans="1:5" x14ac:dyDescent="0.2">
      <c r="A10" t="s">
        <v>32</v>
      </c>
      <c r="B10" s="7" t="s">
        <v>90</v>
      </c>
      <c r="C10" s="6">
        <v>44634</v>
      </c>
    </row>
    <row r="11" spans="1:5" x14ac:dyDescent="0.2">
      <c r="A11" t="s">
        <v>25</v>
      </c>
      <c r="B11" s="7" t="s">
        <v>87</v>
      </c>
      <c r="C11" s="6">
        <v>44657</v>
      </c>
    </row>
    <row r="12" spans="1:5" x14ac:dyDescent="0.2">
      <c r="A12" t="s">
        <v>23</v>
      </c>
      <c r="B12" s="7" t="s">
        <v>85</v>
      </c>
      <c r="C12" s="6">
        <v>44668</v>
      </c>
    </row>
    <row r="13" spans="1:5" x14ac:dyDescent="0.2">
      <c r="A13" t="s">
        <v>40</v>
      </c>
      <c r="B13" s="7" t="s">
        <v>95</v>
      </c>
      <c r="C13" s="6">
        <v>44679</v>
      </c>
    </row>
    <row r="14" spans="1:5" x14ac:dyDescent="0.2">
      <c r="A14" t="s">
        <v>39</v>
      </c>
      <c r="B14" s="7" t="s">
        <v>94</v>
      </c>
      <c r="C14" s="6">
        <v>44743</v>
      </c>
    </row>
    <row r="15" spans="1:5" x14ac:dyDescent="0.2">
      <c r="A15" t="s">
        <v>14</v>
      </c>
      <c r="B15" s="7" t="s">
        <v>78</v>
      </c>
      <c r="C15" s="6">
        <v>44748</v>
      </c>
    </row>
    <row r="16" spans="1:5" x14ac:dyDescent="0.2">
      <c r="A16" t="s">
        <v>30</v>
      </c>
      <c r="B16" s="7" t="s">
        <v>89</v>
      </c>
      <c r="C16" s="6">
        <v>44768</v>
      </c>
    </row>
    <row r="17" spans="1:3" x14ac:dyDescent="0.2">
      <c r="A17" t="s">
        <v>15</v>
      </c>
      <c r="B17" s="7" t="s">
        <v>79</v>
      </c>
      <c r="C17" s="6">
        <v>44771</v>
      </c>
    </row>
    <row r="18" spans="1:3" x14ac:dyDescent="0.2">
      <c r="A18" t="s">
        <v>35</v>
      </c>
      <c r="B18" s="7" t="s">
        <v>92</v>
      </c>
      <c r="C18" s="6">
        <v>44786</v>
      </c>
    </row>
    <row r="19" spans="1:3" x14ac:dyDescent="0.2">
      <c r="A19" t="s">
        <v>24</v>
      </c>
      <c r="B19" s="7" t="s">
        <v>86</v>
      </c>
      <c r="C19" s="6">
        <v>44794</v>
      </c>
    </row>
    <row r="20" spans="1:3" x14ac:dyDescent="0.2">
      <c r="A20" t="s">
        <v>34</v>
      </c>
      <c r="B20" s="7" t="s">
        <v>91</v>
      </c>
      <c r="C20" s="6">
        <v>44902</v>
      </c>
    </row>
    <row r="21" spans="1:3" x14ac:dyDescent="0.2">
      <c r="A21" t="s">
        <v>26</v>
      </c>
      <c r="B21" s="7" t="s">
        <v>97</v>
      </c>
      <c r="C21" s="6">
        <v>44918</v>
      </c>
    </row>
    <row r="22" spans="1:3" x14ac:dyDescent="0.2">
      <c r="A22" t="s">
        <v>17</v>
      </c>
      <c r="B22" s="7" t="s">
        <v>81</v>
      </c>
      <c r="C22" s="6">
        <v>44944</v>
      </c>
    </row>
  </sheetData>
  <sortState xmlns:xlrd2="http://schemas.microsoft.com/office/spreadsheetml/2017/richdata2" ref="A2:E22">
    <sortCondition ref="C1:C22"/>
  </sortState>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46CB8-1500-4051-A4A8-D6A9DCB38142}">
  <dimension ref="A1:E26"/>
  <sheetViews>
    <sheetView workbookViewId="0">
      <selection activeCell="C1" sqref="C1:C1048576"/>
    </sheetView>
  </sheetViews>
  <sheetFormatPr defaultRowHeight="14.25" x14ac:dyDescent="0.2"/>
  <cols>
    <col min="2" max="2" width="31.5" bestFit="1" customWidth="1"/>
    <col min="3" max="3" width="11.25" bestFit="1" customWidth="1"/>
  </cols>
  <sheetData>
    <row r="1" spans="1:5" x14ac:dyDescent="0.2">
      <c r="A1" s="4" t="s">
        <v>46</v>
      </c>
      <c r="B1" s="9" t="s">
        <v>47</v>
      </c>
      <c r="C1" s="8" t="s">
        <v>48</v>
      </c>
      <c r="D1" s="4" t="s">
        <v>49</v>
      </c>
      <c r="E1" s="4" t="s">
        <v>54</v>
      </c>
    </row>
    <row r="2" spans="1:5" x14ac:dyDescent="0.2">
      <c r="A2" t="s">
        <v>50</v>
      </c>
      <c r="B2" t="s">
        <v>99</v>
      </c>
      <c r="C2" s="10">
        <v>44749</v>
      </c>
    </row>
    <row r="3" spans="1:5" x14ac:dyDescent="0.2">
      <c r="A3" t="s">
        <v>25</v>
      </c>
      <c r="B3" t="s">
        <v>110</v>
      </c>
      <c r="C3" s="10">
        <v>44844</v>
      </c>
    </row>
    <row r="4" spans="1:5" x14ac:dyDescent="0.2">
      <c r="A4" t="s">
        <v>20</v>
      </c>
      <c r="B4" t="s">
        <v>105</v>
      </c>
      <c r="C4" s="10">
        <v>44893</v>
      </c>
    </row>
    <row r="5" spans="1:5" x14ac:dyDescent="0.2">
      <c r="A5" t="s">
        <v>23</v>
      </c>
      <c r="B5" t="s">
        <v>108</v>
      </c>
      <c r="C5" s="10">
        <v>44895</v>
      </c>
    </row>
    <row r="6" spans="1:5" x14ac:dyDescent="0.2">
      <c r="A6" t="s">
        <v>13</v>
      </c>
      <c r="B6" t="s">
        <v>98</v>
      </c>
      <c r="C6" s="10">
        <v>44900</v>
      </c>
    </row>
    <row r="7" spans="1:5" x14ac:dyDescent="0.2">
      <c r="A7" t="s">
        <v>14</v>
      </c>
      <c r="B7" t="s">
        <v>100</v>
      </c>
      <c r="C7" s="10">
        <v>44903</v>
      </c>
    </row>
    <row r="8" spans="1:5" x14ac:dyDescent="0.2">
      <c r="A8" t="s">
        <v>29</v>
      </c>
      <c r="B8" t="s">
        <v>113</v>
      </c>
      <c r="C8" s="10">
        <v>44916</v>
      </c>
    </row>
    <row r="9" spans="1:5" x14ac:dyDescent="0.2">
      <c r="A9" t="s">
        <v>21</v>
      </c>
      <c r="B9" t="s">
        <v>106</v>
      </c>
      <c r="C9" s="10">
        <v>44938</v>
      </c>
    </row>
    <row r="10" spans="1:5" x14ac:dyDescent="0.2">
      <c r="A10" t="s">
        <v>15</v>
      </c>
      <c r="B10" t="s">
        <v>101</v>
      </c>
      <c r="C10" s="10">
        <v>44954</v>
      </c>
    </row>
    <row r="11" spans="1:5" x14ac:dyDescent="0.2">
      <c r="A11" t="s">
        <v>35</v>
      </c>
      <c r="B11" t="s">
        <v>117</v>
      </c>
      <c r="C11" s="10">
        <v>44973</v>
      </c>
    </row>
    <row r="12" spans="1:5" x14ac:dyDescent="0.2">
      <c r="A12" t="s">
        <v>22</v>
      </c>
      <c r="B12" t="s">
        <v>107</v>
      </c>
      <c r="C12" s="10">
        <v>44978</v>
      </c>
    </row>
    <row r="13" spans="1:5" x14ac:dyDescent="0.2">
      <c r="A13" t="s">
        <v>33</v>
      </c>
      <c r="B13" t="s">
        <v>115</v>
      </c>
      <c r="C13" s="10">
        <v>45001</v>
      </c>
    </row>
    <row r="14" spans="1:5" x14ac:dyDescent="0.2">
      <c r="A14" t="s">
        <v>16</v>
      </c>
      <c r="B14" t="s">
        <v>102</v>
      </c>
      <c r="C14" s="10">
        <v>45007</v>
      </c>
    </row>
    <row r="15" spans="1:5" x14ac:dyDescent="0.2">
      <c r="A15" t="s">
        <v>27</v>
      </c>
      <c r="B15" t="s">
        <v>112</v>
      </c>
      <c r="C15" s="10">
        <v>45007</v>
      </c>
    </row>
    <row r="16" spans="1:5" x14ac:dyDescent="0.2">
      <c r="A16" t="s">
        <v>26</v>
      </c>
      <c r="B16" t="s">
        <v>111</v>
      </c>
      <c r="C16" s="10">
        <v>45044</v>
      </c>
    </row>
    <row r="17" spans="1:3" x14ac:dyDescent="0.2">
      <c r="A17" t="s">
        <v>39</v>
      </c>
      <c r="B17" t="s">
        <v>120</v>
      </c>
      <c r="C17" s="10">
        <v>45050</v>
      </c>
    </row>
    <row r="18" spans="1:3" x14ac:dyDescent="0.2">
      <c r="A18" t="s">
        <v>38</v>
      </c>
      <c r="B18" t="s">
        <v>119</v>
      </c>
      <c r="C18" s="10">
        <v>45054</v>
      </c>
    </row>
    <row r="19" spans="1:3" x14ac:dyDescent="0.2">
      <c r="A19" t="s">
        <v>17</v>
      </c>
      <c r="B19" t="s">
        <v>103</v>
      </c>
      <c r="C19" s="10">
        <v>45076</v>
      </c>
    </row>
    <row r="20" spans="1:3" x14ac:dyDescent="0.2">
      <c r="A20" t="s">
        <v>37</v>
      </c>
      <c r="B20" t="s">
        <v>118</v>
      </c>
      <c r="C20" s="10">
        <v>45092</v>
      </c>
    </row>
    <row r="21" spans="1:3" x14ac:dyDescent="0.2">
      <c r="A21" t="s">
        <v>24</v>
      </c>
      <c r="B21" t="s">
        <v>109</v>
      </c>
      <c r="C21" s="10">
        <v>45125</v>
      </c>
    </row>
    <row r="22" spans="1:3" x14ac:dyDescent="0.2">
      <c r="A22" t="s">
        <v>42</v>
      </c>
      <c r="B22" t="s">
        <v>122</v>
      </c>
      <c r="C22" s="10">
        <v>45133</v>
      </c>
    </row>
    <row r="23" spans="1:3" x14ac:dyDescent="0.2">
      <c r="A23" t="s">
        <v>19</v>
      </c>
      <c r="B23" t="s">
        <v>104</v>
      </c>
      <c r="C23" s="10">
        <v>45141</v>
      </c>
    </row>
    <row r="24" spans="1:3" x14ac:dyDescent="0.2">
      <c r="A24" t="s">
        <v>34</v>
      </c>
      <c r="B24" t="s">
        <v>116</v>
      </c>
      <c r="C24" s="10">
        <v>45145</v>
      </c>
    </row>
    <row r="25" spans="1:3" x14ac:dyDescent="0.2">
      <c r="A25" t="s">
        <v>32</v>
      </c>
      <c r="B25" t="s">
        <v>114</v>
      </c>
      <c r="C25" s="10">
        <v>45224</v>
      </c>
    </row>
    <row r="26" spans="1:3" x14ac:dyDescent="0.2">
      <c r="A26" t="s">
        <v>40</v>
      </c>
      <c r="B26" t="s">
        <v>121</v>
      </c>
      <c r="C26" s="10">
        <v>45231</v>
      </c>
    </row>
  </sheetData>
  <sortState xmlns:xlrd2="http://schemas.microsoft.com/office/spreadsheetml/2017/richdata2" ref="A2:E26">
    <sortCondition ref="C1:C26"/>
  </sortState>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E3A53-3564-4588-819B-EAACDBF2777E}">
  <dimension ref="A1:E26"/>
  <sheetViews>
    <sheetView workbookViewId="0">
      <selection activeCell="C1" sqref="C1:C1048576"/>
    </sheetView>
  </sheetViews>
  <sheetFormatPr defaultRowHeight="14.25" x14ac:dyDescent="0.2"/>
  <cols>
    <col min="2" max="2" width="35.875" bestFit="1" customWidth="1"/>
    <col min="3" max="3" width="11.25" bestFit="1" customWidth="1"/>
  </cols>
  <sheetData>
    <row r="1" spans="1:5" x14ac:dyDescent="0.2">
      <c r="A1" s="4" t="s">
        <v>46</v>
      </c>
      <c r="B1" s="9" t="s">
        <v>47</v>
      </c>
      <c r="C1" s="8" t="s">
        <v>48</v>
      </c>
      <c r="D1" s="4" t="s">
        <v>49</v>
      </c>
      <c r="E1" s="4" t="s">
        <v>54</v>
      </c>
    </row>
    <row r="2" spans="1:5" x14ac:dyDescent="0.2">
      <c r="A2" t="s">
        <v>50</v>
      </c>
      <c r="B2" t="s">
        <v>123</v>
      </c>
      <c r="C2" s="10">
        <v>44742</v>
      </c>
    </row>
    <row r="3" spans="1:5" x14ac:dyDescent="0.2">
      <c r="A3" t="s">
        <v>21</v>
      </c>
      <c r="B3" t="s">
        <v>132</v>
      </c>
      <c r="C3" s="10">
        <v>44836</v>
      </c>
    </row>
    <row r="4" spans="1:5" x14ac:dyDescent="0.2">
      <c r="A4" t="s">
        <v>20</v>
      </c>
      <c r="B4" t="s">
        <v>131</v>
      </c>
      <c r="C4" s="10">
        <v>44848</v>
      </c>
    </row>
    <row r="5" spans="1:5" x14ac:dyDescent="0.2">
      <c r="A5" t="s">
        <v>25</v>
      </c>
      <c r="B5" t="s">
        <v>135</v>
      </c>
      <c r="C5" s="10">
        <v>44858</v>
      </c>
    </row>
    <row r="6" spans="1:5" x14ac:dyDescent="0.2">
      <c r="A6" t="s">
        <v>23</v>
      </c>
      <c r="B6" t="s">
        <v>133</v>
      </c>
      <c r="C6" s="10">
        <v>44862</v>
      </c>
    </row>
    <row r="7" spans="1:5" x14ac:dyDescent="0.2">
      <c r="A7" t="s">
        <v>29</v>
      </c>
      <c r="B7" t="s">
        <v>139</v>
      </c>
      <c r="C7" s="10">
        <v>44862</v>
      </c>
    </row>
    <row r="8" spans="1:5" x14ac:dyDescent="0.2">
      <c r="A8" t="s">
        <v>14</v>
      </c>
      <c r="B8" t="s">
        <v>125</v>
      </c>
      <c r="C8" s="10">
        <v>44866</v>
      </c>
    </row>
    <row r="9" spans="1:5" x14ac:dyDescent="0.2">
      <c r="A9" t="s">
        <v>33</v>
      </c>
      <c r="B9" t="s">
        <v>142</v>
      </c>
      <c r="C9" s="10">
        <v>44869</v>
      </c>
    </row>
    <row r="10" spans="1:5" x14ac:dyDescent="0.2">
      <c r="A10" t="s">
        <v>41</v>
      </c>
      <c r="B10" t="s">
        <v>146</v>
      </c>
      <c r="C10" s="10">
        <v>44924</v>
      </c>
    </row>
    <row r="11" spans="1:5" x14ac:dyDescent="0.2">
      <c r="A11" t="s">
        <v>15</v>
      </c>
      <c r="B11" t="s">
        <v>126</v>
      </c>
      <c r="C11" s="10">
        <v>44930</v>
      </c>
    </row>
    <row r="12" spans="1:5" x14ac:dyDescent="0.2">
      <c r="A12" t="s">
        <v>42</v>
      </c>
      <c r="B12" t="s">
        <v>147</v>
      </c>
      <c r="C12" s="10">
        <v>44946</v>
      </c>
    </row>
    <row r="13" spans="1:5" x14ac:dyDescent="0.2">
      <c r="A13" t="s">
        <v>16</v>
      </c>
      <c r="B13" t="s">
        <v>127</v>
      </c>
      <c r="C13" s="10">
        <v>44965</v>
      </c>
    </row>
    <row r="14" spans="1:5" x14ac:dyDescent="0.2">
      <c r="A14" t="s">
        <v>27</v>
      </c>
      <c r="B14" t="s">
        <v>137</v>
      </c>
      <c r="C14" s="10">
        <v>44965</v>
      </c>
    </row>
    <row r="15" spans="1:5" x14ac:dyDescent="0.2">
      <c r="A15" t="s">
        <v>17</v>
      </c>
      <c r="B15" t="s">
        <v>128</v>
      </c>
      <c r="C15" s="10">
        <v>44984</v>
      </c>
    </row>
    <row r="16" spans="1:5" x14ac:dyDescent="0.2">
      <c r="A16" t="s">
        <v>24</v>
      </c>
      <c r="B16" t="s">
        <v>134</v>
      </c>
      <c r="C16" s="10">
        <v>45008</v>
      </c>
    </row>
    <row r="17" spans="1:3" x14ac:dyDescent="0.2">
      <c r="A17" t="s">
        <v>26</v>
      </c>
      <c r="B17" t="s">
        <v>136</v>
      </c>
      <c r="C17" s="10">
        <v>45072</v>
      </c>
    </row>
    <row r="18" spans="1:3" x14ac:dyDescent="0.2">
      <c r="A18" t="s">
        <v>40</v>
      </c>
      <c r="B18" t="s">
        <v>145</v>
      </c>
      <c r="C18" s="10">
        <v>45093</v>
      </c>
    </row>
    <row r="19" spans="1:3" x14ac:dyDescent="0.2">
      <c r="A19" t="s">
        <v>37</v>
      </c>
      <c r="B19" t="s">
        <v>144</v>
      </c>
      <c r="C19" s="10">
        <v>45106</v>
      </c>
    </row>
    <row r="20" spans="1:3" x14ac:dyDescent="0.2">
      <c r="A20" t="s">
        <v>18</v>
      </c>
      <c r="B20" t="s">
        <v>129</v>
      </c>
      <c r="C20" s="10">
        <v>45107</v>
      </c>
    </row>
    <row r="21" spans="1:3" x14ac:dyDescent="0.2">
      <c r="A21" t="s">
        <v>19</v>
      </c>
      <c r="B21" t="s">
        <v>130</v>
      </c>
      <c r="C21" s="10">
        <v>45133</v>
      </c>
    </row>
    <row r="22" spans="1:3" x14ac:dyDescent="0.2">
      <c r="A22" t="s">
        <v>34</v>
      </c>
      <c r="B22" t="s">
        <v>143</v>
      </c>
      <c r="C22" s="10">
        <v>45147</v>
      </c>
    </row>
    <row r="23" spans="1:3" x14ac:dyDescent="0.2">
      <c r="A23" t="s">
        <v>28</v>
      </c>
      <c r="B23" t="s">
        <v>138</v>
      </c>
      <c r="C23" s="10">
        <v>45152</v>
      </c>
    </row>
    <row r="24" spans="1:3" x14ac:dyDescent="0.2">
      <c r="A24" t="s">
        <v>13</v>
      </c>
      <c r="B24" t="s">
        <v>124</v>
      </c>
      <c r="C24" s="10">
        <v>45154</v>
      </c>
    </row>
    <row r="25" spans="1:3" x14ac:dyDescent="0.2">
      <c r="A25" t="s">
        <v>32</v>
      </c>
      <c r="B25" t="s">
        <v>141</v>
      </c>
      <c r="C25" s="10">
        <v>45155</v>
      </c>
    </row>
    <row r="26" spans="1:3" x14ac:dyDescent="0.2">
      <c r="A26" t="s">
        <v>30</v>
      </c>
      <c r="B26" t="s">
        <v>140</v>
      </c>
      <c r="C26" s="10">
        <v>45320</v>
      </c>
    </row>
  </sheetData>
  <sortState xmlns:xlrd2="http://schemas.microsoft.com/office/spreadsheetml/2017/richdata2" ref="A2:E26">
    <sortCondition ref="C1:C26"/>
  </sortState>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78FB-257B-494F-9E4E-E3CE965B88AD}">
  <dimension ref="A1:E27"/>
  <sheetViews>
    <sheetView workbookViewId="0">
      <selection activeCell="A2" sqref="A2:A27"/>
    </sheetView>
  </sheetViews>
  <sheetFormatPr defaultRowHeight="14.25" x14ac:dyDescent="0.2"/>
  <cols>
    <col min="2" max="2" width="33.625" bestFit="1" customWidth="1"/>
    <col min="3" max="3" width="11.25" bestFit="1" customWidth="1"/>
  </cols>
  <sheetData>
    <row r="1" spans="1:5" x14ac:dyDescent="0.2">
      <c r="A1" s="4" t="s">
        <v>46</v>
      </c>
      <c r="B1" s="9" t="s">
        <v>47</v>
      </c>
      <c r="C1" s="8" t="s">
        <v>48</v>
      </c>
      <c r="D1" s="4" t="s">
        <v>49</v>
      </c>
      <c r="E1" s="4" t="s">
        <v>54</v>
      </c>
    </row>
    <row r="2" spans="1:5" x14ac:dyDescent="0.2">
      <c r="A2" t="s">
        <v>50</v>
      </c>
      <c r="B2" t="s">
        <v>148</v>
      </c>
      <c r="C2" s="10">
        <v>44722</v>
      </c>
    </row>
    <row r="3" spans="1:5" x14ac:dyDescent="0.2">
      <c r="A3" t="s">
        <v>29</v>
      </c>
      <c r="B3" t="s">
        <v>164</v>
      </c>
      <c r="C3" s="10">
        <v>44722</v>
      </c>
    </row>
    <row r="4" spans="1:5" x14ac:dyDescent="0.2">
      <c r="A4" t="s">
        <v>24</v>
      </c>
      <c r="B4" t="s">
        <v>160</v>
      </c>
      <c r="C4" s="10">
        <v>44771</v>
      </c>
    </row>
    <row r="5" spans="1:5" x14ac:dyDescent="0.2">
      <c r="A5" t="s">
        <v>25</v>
      </c>
      <c r="B5" t="s">
        <v>161</v>
      </c>
      <c r="C5" s="10">
        <v>44833</v>
      </c>
    </row>
    <row r="6" spans="1:5" x14ac:dyDescent="0.2">
      <c r="A6" t="s">
        <v>20</v>
      </c>
      <c r="B6" t="s">
        <v>157</v>
      </c>
      <c r="C6" s="10">
        <v>44853</v>
      </c>
    </row>
    <row r="7" spans="1:5" x14ac:dyDescent="0.2">
      <c r="A7" t="s">
        <v>41</v>
      </c>
      <c r="B7" t="s">
        <v>172</v>
      </c>
      <c r="C7" s="10">
        <v>44876</v>
      </c>
    </row>
    <row r="8" spans="1:5" x14ac:dyDescent="0.2">
      <c r="A8" t="s">
        <v>28</v>
      </c>
      <c r="B8" t="s">
        <v>165</v>
      </c>
      <c r="C8" s="10">
        <v>44900</v>
      </c>
    </row>
    <row r="9" spans="1:5" x14ac:dyDescent="0.2">
      <c r="A9" t="s">
        <v>13</v>
      </c>
      <c r="B9" t="s">
        <v>150</v>
      </c>
      <c r="C9" s="10">
        <v>44902</v>
      </c>
    </row>
    <row r="10" spans="1:5" x14ac:dyDescent="0.2">
      <c r="A10" t="s">
        <v>22</v>
      </c>
      <c r="B10" t="s">
        <v>159</v>
      </c>
      <c r="C10" s="10">
        <v>44907</v>
      </c>
    </row>
    <row r="11" spans="1:5" x14ac:dyDescent="0.2">
      <c r="A11" t="s">
        <v>21</v>
      </c>
      <c r="B11" t="s">
        <v>158</v>
      </c>
      <c r="C11" s="10">
        <v>44935</v>
      </c>
    </row>
    <row r="12" spans="1:5" x14ac:dyDescent="0.2">
      <c r="A12" t="s">
        <v>17</v>
      </c>
      <c r="B12" t="s">
        <v>154</v>
      </c>
      <c r="C12" s="10">
        <v>44936</v>
      </c>
    </row>
    <row r="13" spans="1:5" x14ac:dyDescent="0.2">
      <c r="A13" t="s">
        <v>14</v>
      </c>
      <c r="B13" t="s">
        <v>151</v>
      </c>
      <c r="C13" s="10">
        <v>44944</v>
      </c>
    </row>
    <row r="14" spans="1:5" x14ac:dyDescent="0.2">
      <c r="A14" t="s">
        <v>16</v>
      </c>
      <c r="B14" t="s">
        <v>153</v>
      </c>
      <c r="C14" s="10">
        <v>44959</v>
      </c>
    </row>
    <row r="15" spans="1:5" x14ac:dyDescent="0.2">
      <c r="A15" t="s">
        <v>42</v>
      </c>
      <c r="B15" t="s">
        <v>173</v>
      </c>
      <c r="C15" s="10">
        <v>44979</v>
      </c>
    </row>
    <row r="16" spans="1:5" x14ac:dyDescent="0.2">
      <c r="A16" t="s">
        <v>27</v>
      </c>
      <c r="B16" t="s">
        <v>163</v>
      </c>
      <c r="C16" s="10">
        <v>44981</v>
      </c>
    </row>
    <row r="17" spans="1:3" x14ac:dyDescent="0.2">
      <c r="A17" t="s">
        <v>36</v>
      </c>
      <c r="B17" t="s">
        <v>169</v>
      </c>
      <c r="C17" s="10">
        <v>45007</v>
      </c>
    </row>
    <row r="18" spans="1:3" x14ac:dyDescent="0.2">
      <c r="A18" t="s">
        <v>39</v>
      </c>
      <c r="B18" t="s">
        <v>170</v>
      </c>
      <c r="C18" s="10">
        <v>45034</v>
      </c>
    </row>
    <row r="19" spans="1:3" x14ac:dyDescent="0.2">
      <c r="A19" t="s">
        <v>26</v>
      </c>
      <c r="B19" t="s">
        <v>162</v>
      </c>
      <c r="C19" s="10">
        <v>45072</v>
      </c>
    </row>
    <row r="20" spans="1:3" x14ac:dyDescent="0.2">
      <c r="A20" t="s">
        <v>40</v>
      </c>
      <c r="B20" t="s">
        <v>171</v>
      </c>
      <c r="C20" s="10">
        <v>45076</v>
      </c>
    </row>
    <row r="21" spans="1:3" x14ac:dyDescent="0.2">
      <c r="A21" t="s">
        <v>33</v>
      </c>
      <c r="B21" t="s">
        <v>168</v>
      </c>
      <c r="C21" s="10">
        <v>45117</v>
      </c>
    </row>
    <row r="22" spans="1:3" x14ac:dyDescent="0.2">
      <c r="A22" t="s">
        <v>32</v>
      </c>
      <c r="B22" t="s">
        <v>167</v>
      </c>
      <c r="C22" s="10">
        <v>45126</v>
      </c>
    </row>
    <row r="23" spans="1:3" x14ac:dyDescent="0.2">
      <c r="A23" t="s">
        <v>15</v>
      </c>
      <c r="B23" t="s">
        <v>152</v>
      </c>
      <c r="C23" s="10">
        <v>45156</v>
      </c>
    </row>
    <row r="24" spans="1:3" x14ac:dyDescent="0.2">
      <c r="A24" t="s">
        <v>30</v>
      </c>
      <c r="B24" t="s">
        <v>166</v>
      </c>
      <c r="C24" s="10">
        <v>45166</v>
      </c>
    </row>
    <row r="25" spans="1:3" x14ac:dyDescent="0.2">
      <c r="A25" t="s">
        <v>12</v>
      </c>
      <c r="B25" t="s">
        <v>149</v>
      </c>
      <c r="C25" s="10">
        <v>45189</v>
      </c>
    </row>
    <row r="26" spans="1:3" x14ac:dyDescent="0.2">
      <c r="A26" t="s">
        <v>18</v>
      </c>
      <c r="B26" t="s">
        <v>155</v>
      </c>
      <c r="C26" s="10">
        <v>45219</v>
      </c>
    </row>
    <row r="27" spans="1:3" x14ac:dyDescent="0.2">
      <c r="A27" t="s">
        <v>19</v>
      </c>
      <c r="B27" t="s">
        <v>156</v>
      </c>
      <c r="C27" s="10">
        <v>45220</v>
      </c>
    </row>
  </sheetData>
  <sortState xmlns:xlrd2="http://schemas.microsoft.com/office/spreadsheetml/2017/richdata2" ref="A2:E27">
    <sortCondition ref="C1:C27"/>
  </sortState>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B5958-1C2F-49EF-B712-587E04D46DCE}">
  <dimension ref="A1:E11"/>
  <sheetViews>
    <sheetView workbookViewId="0">
      <selection activeCell="C1" sqref="C1:C1048576"/>
    </sheetView>
  </sheetViews>
  <sheetFormatPr defaultRowHeight="14.25" x14ac:dyDescent="0.2"/>
  <cols>
    <col min="2" max="2" width="29.25" bestFit="1" customWidth="1"/>
    <col min="3" max="3" width="11.25" bestFit="1" customWidth="1"/>
  </cols>
  <sheetData>
    <row r="1" spans="1:5" x14ac:dyDescent="0.2">
      <c r="A1" s="4" t="s">
        <v>46</v>
      </c>
      <c r="B1" s="9" t="s">
        <v>47</v>
      </c>
      <c r="C1" s="8" t="s">
        <v>48</v>
      </c>
      <c r="D1" s="4" t="s">
        <v>49</v>
      </c>
      <c r="E1" s="4" t="s">
        <v>54</v>
      </c>
    </row>
    <row r="2" spans="1:5" x14ac:dyDescent="0.2">
      <c r="A2" t="s">
        <v>50</v>
      </c>
      <c r="B2" t="s">
        <v>174</v>
      </c>
      <c r="C2" s="10">
        <v>44579</v>
      </c>
    </row>
    <row r="3" spans="1:5" x14ac:dyDescent="0.2">
      <c r="A3" t="s">
        <v>16</v>
      </c>
      <c r="B3" t="s">
        <v>176</v>
      </c>
      <c r="C3" s="10">
        <v>44624</v>
      </c>
    </row>
    <row r="4" spans="1:5" x14ac:dyDescent="0.2">
      <c r="A4" t="s">
        <v>17</v>
      </c>
      <c r="B4" t="s">
        <v>177</v>
      </c>
      <c r="C4" s="10">
        <v>44704</v>
      </c>
    </row>
    <row r="5" spans="1:5" x14ac:dyDescent="0.2">
      <c r="A5" t="s">
        <v>21</v>
      </c>
      <c r="B5" t="s">
        <v>178</v>
      </c>
      <c r="C5" s="10">
        <v>44704</v>
      </c>
    </row>
    <row r="6" spans="1:5" x14ac:dyDescent="0.2">
      <c r="A6" t="s">
        <v>24</v>
      </c>
      <c r="B6" t="s">
        <v>179</v>
      </c>
      <c r="C6" s="10">
        <v>44718</v>
      </c>
    </row>
    <row r="7" spans="1:5" x14ac:dyDescent="0.2">
      <c r="A7" t="s">
        <v>29</v>
      </c>
      <c r="B7" t="s">
        <v>180</v>
      </c>
      <c r="C7" s="10">
        <v>44764</v>
      </c>
    </row>
    <row r="8" spans="1:5" x14ac:dyDescent="0.2">
      <c r="A8" t="s">
        <v>15</v>
      </c>
      <c r="B8" t="s">
        <v>175</v>
      </c>
      <c r="C8" s="10">
        <v>44842</v>
      </c>
    </row>
    <row r="9" spans="1:5" x14ac:dyDescent="0.2">
      <c r="A9" t="s">
        <v>33</v>
      </c>
      <c r="B9" t="s">
        <v>181</v>
      </c>
      <c r="C9" s="10">
        <v>44883</v>
      </c>
    </row>
    <row r="10" spans="1:5" x14ac:dyDescent="0.2">
      <c r="A10" t="s">
        <v>37</v>
      </c>
      <c r="B10" t="s">
        <v>183</v>
      </c>
      <c r="C10" s="10">
        <v>44954</v>
      </c>
    </row>
    <row r="11" spans="1:5" x14ac:dyDescent="0.2">
      <c r="A11" t="s">
        <v>34</v>
      </c>
      <c r="B11" t="s">
        <v>182</v>
      </c>
      <c r="C11" s="10">
        <v>45037</v>
      </c>
    </row>
  </sheetData>
  <sortState xmlns:xlrd2="http://schemas.microsoft.com/office/spreadsheetml/2017/richdata2" ref="A2:E11">
    <sortCondition ref="C1:C11"/>
  </sortState>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43824-645B-4151-A271-D9ABA3E6F9F0}">
  <dimension ref="A1:E27"/>
  <sheetViews>
    <sheetView workbookViewId="0">
      <selection activeCell="C1" sqref="C1:C1048576"/>
    </sheetView>
  </sheetViews>
  <sheetFormatPr defaultRowHeight="14.25" x14ac:dyDescent="0.2"/>
  <cols>
    <col min="2" max="2" width="90.125" bestFit="1" customWidth="1"/>
    <col min="3" max="3" width="17.75" style="22" bestFit="1" customWidth="1"/>
  </cols>
  <sheetData>
    <row r="1" spans="1:5" x14ac:dyDescent="0.2">
      <c r="A1" s="4" t="s">
        <v>46</v>
      </c>
      <c r="B1" s="9" t="s">
        <v>47</v>
      </c>
      <c r="C1" s="21" t="s">
        <v>48</v>
      </c>
      <c r="D1" s="4" t="s">
        <v>49</v>
      </c>
      <c r="E1" s="4" t="s">
        <v>54</v>
      </c>
    </row>
    <row r="2" spans="1:5" x14ac:dyDescent="0.2">
      <c r="A2" t="s">
        <v>50</v>
      </c>
      <c r="B2" t="s">
        <v>571</v>
      </c>
      <c r="C2" s="22">
        <v>44229</v>
      </c>
    </row>
    <row r="3" spans="1:5" x14ac:dyDescent="0.2">
      <c r="A3" t="s">
        <v>16</v>
      </c>
      <c r="B3" t="s">
        <v>576</v>
      </c>
      <c r="C3" s="22">
        <v>44315</v>
      </c>
    </row>
    <row r="4" spans="1:5" x14ac:dyDescent="0.2">
      <c r="A4" t="s">
        <v>25</v>
      </c>
      <c r="B4" t="s">
        <v>584</v>
      </c>
      <c r="C4" s="22">
        <v>44385</v>
      </c>
    </row>
    <row r="5" spans="1:5" x14ac:dyDescent="0.2">
      <c r="A5" t="s">
        <v>27</v>
      </c>
      <c r="B5" t="s">
        <v>586</v>
      </c>
      <c r="C5" s="22">
        <v>44420</v>
      </c>
    </row>
    <row r="6" spans="1:5" x14ac:dyDescent="0.2">
      <c r="A6" t="s">
        <v>36</v>
      </c>
      <c r="B6" t="s">
        <v>592</v>
      </c>
      <c r="C6" s="22">
        <v>44420</v>
      </c>
    </row>
    <row r="7" spans="1:5" x14ac:dyDescent="0.2">
      <c r="A7" t="s">
        <v>19</v>
      </c>
      <c r="B7" t="s">
        <v>579</v>
      </c>
      <c r="C7" s="22">
        <v>44440</v>
      </c>
    </row>
    <row r="8" spans="1:5" x14ac:dyDescent="0.2">
      <c r="A8" t="s">
        <v>40</v>
      </c>
      <c r="B8" t="s">
        <v>595</v>
      </c>
      <c r="C8" s="22">
        <v>44451</v>
      </c>
    </row>
    <row r="9" spans="1:5" x14ac:dyDescent="0.2">
      <c r="A9" t="s">
        <v>24</v>
      </c>
      <c r="B9" t="s">
        <v>583</v>
      </c>
      <c r="C9" s="22">
        <v>44453</v>
      </c>
    </row>
    <row r="10" spans="1:5" x14ac:dyDescent="0.2">
      <c r="A10" t="s">
        <v>35</v>
      </c>
      <c r="B10" t="s">
        <v>591</v>
      </c>
      <c r="C10" s="22">
        <v>44456</v>
      </c>
    </row>
    <row r="11" spans="1:5" x14ac:dyDescent="0.2">
      <c r="A11" t="s">
        <v>39</v>
      </c>
      <c r="B11" t="s">
        <v>594</v>
      </c>
      <c r="C11" s="22">
        <v>44456</v>
      </c>
    </row>
    <row r="12" spans="1:5" x14ac:dyDescent="0.2">
      <c r="A12" t="s">
        <v>14</v>
      </c>
      <c r="B12" t="s">
        <v>573</v>
      </c>
      <c r="C12" s="22">
        <v>44468</v>
      </c>
    </row>
    <row r="13" spans="1:5" x14ac:dyDescent="0.2">
      <c r="A13" t="s">
        <v>28</v>
      </c>
      <c r="B13" t="s">
        <v>597</v>
      </c>
      <c r="C13" s="22">
        <v>44486</v>
      </c>
    </row>
    <row r="14" spans="1:5" x14ac:dyDescent="0.2">
      <c r="A14" t="s">
        <v>18</v>
      </c>
      <c r="B14" t="s">
        <v>578</v>
      </c>
      <c r="C14" s="19">
        <v>44516</v>
      </c>
    </row>
    <row r="15" spans="1:5" x14ac:dyDescent="0.2">
      <c r="A15" t="s">
        <v>22</v>
      </c>
      <c r="B15" t="s">
        <v>582</v>
      </c>
      <c r="C15" s="22">
        <v>44516</v>
      </c>
    </row>
    <row r="16" spans="1:5" x14ac:dyDescent="0.2">
      <c r="A16" t="s">
        <v>30</v>
      </c>
      <c r="B16" t="s">
        <v>587</v>
      </c>
      <c r="C16" s="22">
        <v>44533</v>
      </c>
    </row>
    <row r="17" spans="1:3" x14ac:dyDescent="0.2">
      <c r="A17" t="s">
        <v>31</v>
      </c>
      <c r="B17" t="s">
        <v>588</v>
      </c>
      <c r="C17" s="22">
        <v>44540</v>
      </c>
    </row>
    <row r="18" spans="1:3" x14ac:dyDescent="0.2">
      <c r="A18" t="s">
        <v>37</v>
      </c>
      <c r="B18" t="s">
        <v>593</v>
      </c>
      <c r="C18" s="22">
        <v>44550</v>
      </c>
    </row>
    <row r="19" spans="1:3" x14ac:dyDescent="0.2">
      <c r="A19" t="s">
        <v>20</v>
      </c>
      <c r="B19" t="s">
        <v>580</v>
      </c>
      <c r="C19" s="22">
        <v>44561</v>
      </c>
    </row>
    <row r="20" spans="1:3" x14ac:dyDescent="0.2">
      <c r="A20" t="s">
        <v>41</v>
      </c>
      <c r="B20" t="s">
        <v>596</v>
      </c>
      <c r="C20" s="22">
        <v>44561</v>
      </c>
    </row>
    <row r="21" spans="1:3" x14ac:dyDescent="0.2">
      <c r="A21" t="s">
        <v>34</v>
      </c>
      <c r="B21" t="s">
        <v>590</v>
      </c>
      <c r="C21" s="22">
        <v>44567</v>
      </c>
    </row>
    <row r="22" spans="1:3" x14ac:dyDescent="0.2">
      <c r="A22" t="s">
        <v>21</v>
      </c>
      <c r="B22" t="s">
        <v>581</v>
      </c>
      <c r="C22" s="22">
        <v>44585</v>
      </c>
    </row>
    <row r="23" spans="1:3" x14ac:dyDescent="0.2">
      <c r="A23" t="s">
        <v>26</v>
      </c>
      <c r="B23" t="s">
        <v>585</v>
      </c>
      <c r="C23" s="22">
        <v>44629</v>
      </c>
    </row>
    <row r="24" spans="1:3" x14ac:dyDescent="0.2">
      <c r="A24" t="s">
        <v>13</v>
      </c>
      <c r="B24" t="s">
        <v>572</v>
      </c>
      <c r="C24" s="22">
        <v>44645</v>
      </c>
    </row>
    <row r="25" spans="1:3" x14ac:dyDescent="0.2">
      <c r="A25" t="s">
        <v>17</v>
      </c>
      <c r="B25" t="s">
        <v>577</v>
      </c>
      <c r="C25" s="19">
        <v>44672</v>
      </c>
    </row>
    <row r="26" spans="1:3" x14ac:dyDescent="0.2">
      <c r="A26" t="s">
        <v>33</v>
      </c>
      <c r="B26" t="s">
        <v>589</v>
      </c>
      <c r="C26" s="22">
        <v>44884</v>
      </c>
    </row>
    <row r="27" spans="1:3" x14ac:dyDescent="0.2">
      <c r="A27" t="s">
        <v>15</v>
      </c>
      <c r="B27" s="20" t="s">
        <v>574</v>
      </c>
      <c r="C27" s="22" t="s">
        <v>575</v>
      </c>
    </row>
  </sheetData>
  <sortState xmlns:xlrd2="http://schemas.microsoft.com/office/spreadsheetml/2017/richdata2" ref="A2:E27">
    <sortCondition ref="C1:C27"/>
  </sortState>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5D12D-91DB-4DE0-92E2-3E9D727BDE58}">
  <dimension ref="A1:E8"/>
  <sheetViews>
    <sheetView workbookViewId="0">
      <selection activeCell="B9" sqref="B9"/>
    </sheetView>
  </sheetViews>
  <sheetFormatPr defaultRowHeight="14.25" x14ac:dyDescent="0.2"/>
  <cols>
    <col min="2" max="2" width="64.375" bestFit="1" customWidth="1"/>
    <col min="3" max="3" width="15" style="10" bestFit="1" customWidth="1"/>
    <col min="4" max="5" width="5.5" bestFit="1" customWidth="1"/>
  </cols>
  <sheetData>
    <row r="1" spans="1:5" x14ac:dyDescent="0.2">
      <c r="A1" s="4" t="s">
        <v>46</v>
      </c>
      <c r="B1" s="4" t="s">
        <v>47</v>
      </c>
      <c r="C1" s="8" t="s">
        <v>48</v>
      </c>
      <c r="D1" s="4" t="s">
        <v>49</v>
      </c>
      <c r="E1" s="4" t="s">
        <v>54</v>
      </c>
    </row>
    <row r="2" spans="1:5" x14ac:dyDescent="0.2">
      <c r="A2" t="s">
        <v>50</v>
      </c>
      <c r="B2" t="s">
        <v>598</v>
      </c>
      <c r="C2" s="10">
        <v>44591</v>
      </c>
    </row>
    <row r="3" spans="1:5" x14ac:dyDescent="0.2">
      <c r="A3" t="s">
        <v>37</v>
      </c>
      <c r="B3" t="s">
        <v>603</v>
      </c>
      <c r="C3" s="10">
        <v>44767</v>
      </c>
    </row>
    <row r="4" spans="1:5" x14ac:dyDescent="0.2">
      <c r="A4" t="s">
        <v>17</v>
      </c>
      <c r="B4" t="s">
        <v>599</v>
      </c>
      <c r="C4" s="10">
        <v>44823</v>
      </c>
    </row>
    <row r="5" spans="1:5" x14ac:dyDescent="0.2">
      <c r="A5" t="s">
        <v>29</v>
      </c>
      <c r="B5" t="s">
        <v>602</v>
      </c>
      <c r="C5" s="10">
        <v>44825</v>
      </c>
    </row>
    <row r="6" spans="1:5" x14ac:dyDescent="0.2">
      <c r="A6" t="s">
        <v>22</v>
      </c>
      <c r="B6" t="s">
        <v>600</v>
      </c>
      <c r="C6" s="10">
        <v>44900</v>
      </c>
    </row>
    <row r="7" spans="1:5" x14ac:dyDescent="0.2">
      <c r="A7" t="s">
        <v>24</v>
      </c>
      <c r="B7" t="s">
        <v>601</v>
      </c>
      <c r="C7" s="10">
        <v>45062</v>
      </c>
    </row>
    <row r="8" spans="1:5" x14ac:dyDescent="0.2">
      <c r="A8" t="s">
        <v>40</v>
      </c>
      <c r="B8" t="s">
        <v>604</v>
      </c>
      <c r="C8" s="10">
        <v>45147</v>
      </c>
    </row>
  </sheetData>
  <sortState xmlns:xlrd2="http://schemas.microsoft.com/office/spreadsheetml/2017/richdata2" ref="A2:E8">
    <sortCondition ref="C1:C8"/>
  </sortState>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56A2-EBC7-4BEF-A24D-D122AD3D3FCE}">
  <dimension ref="A1:E9"/>
  <sheetViews>
    <sheetView workbookViewId="0">
      <selection activeCell="C1" sqref="C1:C1048576"/>
    </sheetView>
  </sheetViews>
  <sheetFormatPr defaultRowHeight="14.25" x14ac:dyDescent="0.2"/>
  <cols>
    <col min="2" max="2" width="35.875" bestFit="1" customWidth="1"/>
    <col min="3" max="3" width="23" bestFit="1" customWidth="1"/>
  </cols>
  <sheetData>
    <row r="1" spans="1:5" x14ac:dyDescent="0.2">
      <c r="A1" s="4" t="s">
        <v>46</v>
      </c>
      <c r="B1" s="4" t="s">
        <v>47</v>
      </c>
      <c r="C1" s="8" t="s">
        <v>48</v>
      </c>
      <c r="D1" s="4" t="s">
        <v>49</v>
      </c>
      <c r="E1" s="4" t="s">
        <v>54</v>
      </c>
    </row>
    <row r="2" spans="1:5" x14ac:dyDescent="0.2">
      <c r="A2" t="s">
        <v>50</v>
      </c>
      <c r="B2" s="24" t="s">
        <v>617</v>
      </c>
      <c r="C2" s="10">
        <v>44875</v>
      </c>
    </row>
    <row r="3" spans="1:5" x14ac:dyDescent="0.2">
      <c r="A3" t="s">
        <v>29</v>
      </c>
      <c r="B3" t="s">
        <v>621</v>
      </c>
      <c r="C3" s="10">
        <v>44925</v>
      </c>
    </row>
    <row r="4" spans="1:5" x14ac:dyDescent="0.2">
      <c r="A4" t="s">
        <v>25</v>
      </c>
      <c r="B4" t="s">
        <v>622</v>
      </c>
      <c r="C4" s="10">
        <v>44955</v>
      </c>
    </row>
    <row r="5" spans="1:5" x14ac:dyDescent="0.2">
      <c r="A5" t="s">
        <v>33</v>
      </c>
      <c r="B5" t="s">
        <v>620</v>
      </c>
      <c r="C5" s="10">
        <v>45093</v>
      </c>
    </row>
    <row r="6" spans="1:5" x14ac:dyDescent="0.2">
      <c r="A6" t="s">
        <v>35</v>
      </c>
      <c r="B6" t="s">
        <v>618</v>
      </c>
      <c r="C6" s="10">
        <v>45294</v>
      </c>
    </row>
    <row r="7" spans="1:5" x14ac:dyDescent="0.2">
      <c r="A7" t="s">
        <v>34</v>
      </c>
      <c r="B7" t="s">
        <v>624</v>
      </c>
      <c r="C7" s="10">
        <v>45313</v>
      </c>
    </row>
    <row r="8" spans="1:5" x14ac:dyDescent="0.2">
      <c r="A8" t="s">
        <v>24</v>
      </c>
      <c r="B8" t="s">
        <v>619</v>
      </c>
      <c r="C8" s="10">
        <v>45363</v>
      </c>
    </row>
    <row r="9" spans="1:5" x14ac:dyDescent="0.2">
      <c r="A9" t="s">
        <v>32</v>
      </c>
      <c r="B9" t="s">
        <v>623</v>
      </c>
      <c r="C9" s="10">
        <v>45422</v>
      </c>
    </row>
  </sheetData>
  <sortState xmlns:xlrd2="http://schemas.microsoft.com/office/spreadsheetml/2017/richdata2" ref="A2:E9">
    <sortCondition ref="C1:C9"/>
  </sortState>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623BD-CAAF-4CA3-91AB-A59B94617AC0}">
  <dimension ref="A1:E13"/>
  <sheetViews>
    <sheetView workbookViewId="0">
      <selection activeCell="C1" sqref="C1:C1048576"/>
    </sheetView>
  </sheetViews>
  <sheetFormatPr defaultRowHeight="14.25" x14ac:dyDescent="0.2"/>
  <cols>
    <col min="2" max="2" width="42.5" bestFit="1" customWidth="1"/>
    <col min="3" max="3" width="20.875" style="10" bestFit="1" customWidth="1"/>
  </cols>
  <sheetData>
    <row r="1" spans="1:5" x14ac:dyDescent="0.2">
      <c r="A1" s="4" t="s">
        <v>46</v>
      </c>
      <c r="B1" s="4" t="s">
        <v>47</v>
      </c>
      <c r="C1" s="8" t="s">
        <v>48</v>
      </c>
      <c r="D1" s="4" t="s">
        <v>49</v>
      </c>
      <c r="E1" s="4" t="s">
        <v>54</v>
      </c>
    </row>
    <row r="2" spans="1:5" x14ac:dyDescent="0.2">
      <c r="A2" t="s">
        <v>50</v>
      </c>
      <c r="B2" t="s">
        <v>605</v>
      </c>
      <c r="C2" s="10">
        <v>44867</v>
      </c>
    </row>
    <row r="3" spans="1:5" x14ac:dyDescent="0.2">
      <c r="A3" t="s">
        <v>25</v>
      </c>
      <c r="B3" t="s">
        <v>608</v>
      </c>
      <c r="C3" s="10">
        <v>44921</v>
      </c>
    </row>
    <row r="4" spans="1:5" x14ac:dyDescent="0.2">
      <c r="A4" t="s">
        <v>29</v>
      </c>
      <c r="B4" t="s">
        <v>611</v>
      </c>
      <c r="C4" s="10">
        <v>44925</v>
      </c>
    </row>
    <row r="5" spans="1:5" x14ac:dyDescent="0.2">
      <c r="A5" t="s">
        <v>33</v>
      </c>
      <c r="B5" t="s">
        <v>613</v>
      </c>
      <c r="C5" s="10">
        <v>45090</v>
      </c>
    </row>
    <row r="6" spans="1:5" x14ac:dyDescent="0.2">
      <c r="A6" t="s">
        <v>26</v>
      </c>
      <c r="B6" t="s">
        <v>609</v>
      </c>
      <c r="C6" s="10">
        <v>45135</v>
      </c>
    </row>
    <row r="7" spans="1:5" x14ac:dyDescent="0.2">
      <c r="A7" t="s">
        <v>42</v>
      </c>
      <c r="B7" t="s">
        <v>616</v>
      </c>
      <c r="C7" s="10">
        <v>45146</v>
      </c>
    </row>
    <row r="8" spans="1:5" x14ac:dyDescent="0.2">
      <c r="A8" t="s">
        <v>22</v>
      </c>
      <c r="B8" t="s">
        <v>606</v>
      </c>
      <c r="C8" s="10">
        <v>45274</v>
      </c>
    </row>
    <row r="9" spans="1:5" x14ac:dyDescent="0.2">
      <c r="A9" t="s">
        <v>34</v>
      </c>
      <c r="B9" t="s">
        <v>614</v>
      </c>
      <c r="C9" s="10">
        <v>45316</v>
      </c>
    </row>
    <row r="10" spans="1:5" x14ac:dyDescent="0.2">
      <c r="A10" t="s">
        <v>35</v>
      </c>
      <c r="B10" t="s">
        <v>615</v>
      </c>
      <c r="C10" s="10">
        <v>45321</v>
      </c>
    </row>
    <row r="11" spans="1:5" x14ac:dyDescent="0.2">
      <c r="A11" t="s">
        <v>27</v>
      </c>
      <c r="B11" t="s">
        <v>610</v>
      </c>
      <c r="C11" s="10">
        <v>45342</v>
      </c>
    </row>
    <row r="12" spans="1:5" x14ac:dyDescent="0.2">
      <c r="A12" t="s">
        <v>24</v>
      </c>
      <c r="B12" t="s">
        <v>607</v>
      </c>
      <c r="C12" s="10">
        <v>45364</v>
      </c>
    </row>
    <row r="13" spans="1:5" x14ac:dyDescent="0.2">
      <c r="A13" t="s">
        <v>32</v>
      </c>
      <c r="B13" t="s">
        <v>612</v>
      </c>
      <c r="C13" s="10">
        <v>45400</v>
      </c>
    </row>
  </sheetData>
  <sortState xmlns:xlrd2="http://schemas.microsoft.com/office/spreadsheetml/2017/richdata2" ref="A2:E13">
    <sortCondition ref="C1:C13"/>
  </sortState>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2E1D-9055-432C-83B6-318365B00C0D}">
  <dimension ref="A1:E10"/>
  <sheetViews>
    <sheetView workbookViewId="0">
      <selection activeCell="C1" sqref="C1:C1048576"/>
    </sheetView>
  </sheetViews>
  <sheetFormatPr defaultRowHeight="14.25" x14ac:dyDescent="0.2"/>
  <cols>
    <col min="2" max="2" width="62.25" bestFit="1" customWidth="1"/>
    <col min="3" max="3" width="21.5" bestFit="1" customWidth="1"/>
  </cols>
  <sheetData>
    <row r="1" spans="1:5" x14ac:dyDescent="0.2">
      <c r="A1" s="4" t="s">
        <v>46</v>
      </c>
      <c r="B1" s="4" t="s">
        <v>47</v>
      </c>
      <c r="C1" s="8" t="s">
        <v>48</v>
      </c>
      <c r="D1" s="4" t="s">
        <v>49</v>
      </c>
      <c r="E1" s="4" t="s">
        <v>54</v>
      </c>
    </row>
    <row r="2" spans="1:5" x14ac:dyDescent="0.2">
      <c r="A2" t="s">
        <v>50</v>
      </c>
      <c r="B2" t="s">
        <v>625</v>
      </c>
      <c r="C2" s="10">
        <v>44852</v>
      </c>
    </row>
    <row r="3" spans="1:5" x14ac:dyDescent="0.2">
      <c r="A3" t="s">
        <v>13</v>
      </c>
      <c r="B3" t="s">
        <v>626</v>
      </c>
      <c r="C3" s="10">
        <v>44963</v>
      </c>
    </row>
    <row r="4" spans="1:5" x14ac:dyDescent="0.2">
      <c r="A4" t="s">
        <v>39</v>
      </c>
      <c r="B4" t="s">
        <v>630</v>
      </c>
      <c r="C4" s="10">
        <v>44971</v>
      </c>
    </row>
    <row r="5" spans="1:5" x14ac:dyDescent="0.2">
      <c r="A5" t="s">
        <v>42</v>
      </c>
      <c r="B5" t="s">
        <v>633</v>
      </c>
      <c r="C5" s="10">
        <v>44971</v>
      </c>
    </row>
    <row r="6" spans="1:5" x14ac:dyDescent="0.2">
      <c r="A6" t="s">
        <v>14</v>
      </c>
      <c r="B6" t="s">
        <v>632</v>
      </c>
      <c r="C6" s="10">
        <v>44977</v>
      </c>
    </row>
    <row r="7" spans="1:5" x14ac:dyDescent="0.2">
      <c r="A7" t="s">
        <v>16</v>
      </c>
      <c r="B7" t="s">
        <v>627</v>
      </c>
      <c r="C7" s="10">
        <v>45022</v>
      </c>
    </row>
    <row r="8" spans="1:5" x14ac:dyDescent="0.2">
      <c r="A8" t="s">
        <v>26</v>
      </c>
      <c r="B8" t="s">
        <v>631</v>
      </c>
      <c r="C8" s="10">
        <v>45043</v>
      </c>
    </row>
    <row r="9" spans="1:5" x14ac:dyDescent="0.2">
      <c r="A9" t="s">
        <v>25</v>
      </c>
      <c r="B9" t="s">
        <v>629</v>
      </c>
      <c r="C9" s="10">
        <v>45169</v>
      </c>
    </row>
    <row r="10" spans="1:5" x14ac:dyDescent="0.2">
      <c r="A10" t="s">
        <v>29</v>
      </c>
      <c r="B10" t="s">
        <v>628</v>
      </c>
      <c r="C10" s="10">
        <v>45176</v>
      </c>
    </row>
  </sheetData>
  <sortState xmlns:xlrd2="http://schemas.microsoft.com/office/spreadsheetml/2017/richdata2" ref="A2:E10">
    <sortCondition ref="C1:C10"/>
  </sortState>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51E84-0D78-40BA-BF77-A1D34880704A}">
  <dimension ref="A1:E20"/>
  <sheetViews>
    <sheetView workbookViewId="0">
      <selection activeCell="C1" sqref="C1:C1048576"/>
    </sheetView>
  </sheetViews>
  <sheetFormatPr defaultRowHeight="14.25" x14ac:dyDescent="0.2"/>
  <cols>
    <col min="2" max="2" width="66.5" bestFit="1" customWidth="1"/>
    <col min="3" max="3" width="11.75" bestFit="1" customWidth="1"/>
  </cols>
  <sheetData>
    <row r="1" spans="1:5" x14ac:dyDescent="0.2">
      <c r="A1" s="4" t="s">
        <v>46</v>
      </c>
      <c r="B1" s="4" t="s">
        <v>47</v>
      </c>
      <c r="C1" s="8" t="s">
        <v>48</v>
      </c>
      <c r="D1" s="4" t="s">
        <v>49</v>
      </c>
      <c r="E1" s="4" t="s">
        <v>54</v>
      </c>
    </row>
    <row r="2" spans="1:5" x14ac:dyDescent="0.2">
      <c r="A2" t="s">
        <v>50</v>
      </c>
      <c r="B2" t="s">
        <v>634</v>
      </c>
      <c r="C2" s="10">
        <v>44706</v>
      </c>
    </row>
    <row r="3" spans="1:5" x14ac:dyDescent="0.2">
      <c r="A3" t="s">
        <v>22</v>
      </c>
      <c r="B3" t="s">
        <v>644</v>
      </c>
      <c r="C3" s="10">
        <v>44725</v>
      </c>
    </row>
    <row r="4" spans="1:5" x14ac:dyDescent="0.2">
      <c r="A4" t="s">
        <v>26</v>
      </c>
      <c r="B4" t="s">
        <v>651</v>
      </c>
      <c r="C4" s="10">
        <v>44835</v>
      </c>
    </row>
    <row r="5" spans="1:5" x14ac:dyDescent="0.2">
      <c r="A5" t="s">
        <v>29</v>
      </c>
      <c r="B5" t="s">
        <v>638</v>
      </c>
      <c r="C5" s="10">
        <v>44865</v>
      </c>
    </row>
    <row r="6" spans="1:5" x14ac:dyDescent="0.2">
      <c r="A6" t="s">
        <v>13</v>
      </c>
      <c r="B6" t="s">
        <v>643</v>
      </c>
      <c r="C6" s="10">
        <v>44903</v>
      </c>
    </row>
    <row r="7" spans="1:5" x14ac:dyDescent="0.2">
      <c r="A7" t="s">
        <v>18</v>
      </c>
      <c r="B7" t="s">
        <v>648</v>
      </c>
      <c r="C7" s="10">
        <v>44910</v>
      </c>
    </row>
    <row r="8" spans="1:5" x14ac:dyDescent="0.2">
      <c r="A8" t="s">
        <v>41</v>
      </c>
      <c r="B8" t="s">
        <v>639</v>
      </c>
      <c r="C8" s="10">
        <v>44911</v>
      </c>
    </row>
    <row r="9" spans="1:5" x14ac:dyDescent="0.2">
      <c r="A9" t="s">
        <v>24</v>
      </c>
      <c r="B9" t="s">
        <v>635</v>
      </c>
      <c r="C9" s="10">
        <v>44918</v>
      </c>
    </row>
    <row r="10" spans="1:5" x14ac:dyDescent="0.2">
      <c r="A10" t="s">
        <v>23</v>
      </c>
      <c r="B10" t="s">
        <v>650</v>
      </c>
      <c r="C10" s="10">
        <v>44955</v>
      </c>
    </row>
    <row r="11" spans="1:5" x14ac:dyDescent="0.2">
      <c r="A11" t="s">
        <v>16</v>
      </c>
      <c r="B11" t="s">
        <v>647</v>
      </c>
      <c r="C11" s="10">
        <v>44957</v>
      </c>
    </row>
    <row r="12" spans="1:5" x14ac:dyDescent="0.2">
      <c r="A12" t="s">
        <v>35</v>
      </c>
      <c r="B12" t="s">
        <v>640</v>
      </c>
      <c r="C12" s="10">
        <v>44963</v>
      </c>
    </row>
    <row r="13" spans="1:5" x14ac:dyDescent="0.2">
      <c r="A13" t="s">
        <v>27</v>
      </c>
      <c r="B13" t="s">
        <v>652</v>
      </c>
      <c r="C13" s="10">
        <v>44967</v>
      </c>
    </row>
    <row r="14" spans="1:5" x14ac:dyDescent="0.2">
      <c r="A14" t="s">
        <v>36</v>
      </c>
      <c r="B14" t="s">
        <v>653</v>
      </c>
      <c r="C14" s="10">
        <v>45009</v>
      </c>
    </row>
    <row r="15" spans="1:5" x14ac:dyDescent="0.2">
      <c r="A15" t="s">
        <v>21</v>
      </c>
      <c r="B15" t="s">
        <v>636</v>
      </c>
      <c r="C15" s="10">
        <v>45020</v>
      </c>
    </row>
    <row r="16" spans="1:5" x14ac:dyDescent="0.2">
      <c r="A16" t="s">
        <v>32</v>
      </c>
      <c r="B16" t="s">
        <v>642</v>
      </c>
      <c r="C16" s="10">
        <v>45037</v>
      </c>
    </row>
    <row r="17" spans="1:3" x14ac:dyDescent="0.2">
      <c r="A17" t="s">
        <v>19</v>
      </c>
      <c r="B17" t="s">
        <v>649</v>
      </c>
      <c r="C17" s="10">
        <v>45112</v>
      </c>
    </row>
    <row r="18" spans="1:3" x14ac:dyDescent="0.2">
      <c r="A18" t="s">
        <v>31</v>
      </c>
      <c r="B18" t="s">
        <v>637</v>
      </c>
      <c r="C18" s="10">
        <v>45126</v>
      </c>
    </row>
    <row r="19" spans="1:3" x14ac:dyDescent="0.2">
      <c r="A19" t="s">
        <v>14</v>
      </c>
      <c r="B19" t="s">
        <v>641</v>
      </c>
      <c r="C19" s="10">
        <v>45264</v>
      </c>
    </row>
    <row r="20" spans="1:3" x14ac:dyDescent="0.2">
      <c r="A20" t="s">
        <v>12</v>
      </c>
      <c r="B20" t="s">
        <v>645</v>
      </c>
      <c r="C20" s="10" t="s">
        <v>646</v>
      </c>
    </row>
  </sheetData>
  <sortState xmlns:xlrd2="http://schemas.microsoft.com/office/spreadsheetml/2017/richdata2" ref="A2:E20">
    <sortCondition ref="C1:C20"/>
  </sortState>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124A-8A54-4447-B902-8E9424FF093C}">
  <dimension ref="A1:I125"/>
  <sheetViews>
    <sheetView topLeftCell="A115" zoomScaleNormal="100" workbookViewId="0">
      <selection activeCell="B41" sqref="B41:B51"/>
    </sheetView>
  </sheetViews>
  <sheetFormatPr defaultRowHeight="14.25" x14ac:dyDescent="0.2"/>
  <cols>
    <col min="2" max="2" width="83" customWidth="1"/>
    <col min="3" max="3" width="120.875" customWidth="1"/>
  </cols>
  <sheetData>
    <row r="1" spans="1:9" ht="15" thickBot="1" x14ac:dyDescent="0.25">
      <c r="A1" s="39" t="s">
        <v>186</v>
      </c>
      <c r="B1" s="40"/>
      <c r="C1" s="40"/>
      <c r="D1" s="40"/>
      <c r="E1" s="40"/>
      <c r="F1" s="40"/>
      <c r="G1" s="40"/>
      <c r="H1" s="40"/>
      <c r="I1" s="41"/>
    </row>
    <row r="2" spans="1:9" ht="41.25" thickBot="1" x14ac:dyDescent="0.25">
      <c r="A2" s="11" t="s">
        <v>187</v>
      </c>
      <c r="B2" s="12" t="s">
        <v>570</v>
      </c>
      <c r="C2" s="12" t="s">
        <v>188</v>
      </c>
      <c r="D2" s="12" t="s">
        <v>189</v>
      </c>
      <c r="E2" s="12" t="s">
        <v>190</v>
      </c>
      <c r="F2" s="12" t="s">
        <v>191</v>
      </c>
      <c r="G2" s="12" t="s">
        <v>192</v>
      </c>
      <c r="H2" s="12" t="s">
        <v>193</v>
      </c>
      <c r="I2" s="12" t="s">
        <v>194</v>
      </c>
    </row>
    <row r="3" spans="1:9" ht="43.5" thickBot="1" x14ac:dyDescent="0.25">
      <c r="A3" s="33" t="s">
        <v>195</v>
      </c>
      <c r="B3" s="13" t="s">
        <v>196</v>
      </c>
      <c r="C3" s="12" t="s">
        <v>197</v>
      </c>
      <c r="D3" s="12">
        <v>2021</v>
      </c>
      <c r="E3" s="12" t="s">
        <v>198</v>
      </c>
      <c r="F3" s="12" t="s">
        <v>199</v>
      </c>
      <c r="G3" s="12" t="s">
        <v>200</v>
      </c>
      <c r="H3" s="12" t="s">
        <v>201</v>
      </c>
      <c r="I3" s="12" t="s">
        <v>202</v>
      </c>
    </row>
    <row r="4" spans="1:9" ht="68.25" thickBot="1" x14ac:dyDescent="0.25">
      <c r="A4" s="34"/>
      <c r="B4" s="13" t="s">
        <v>203</v>
      </c>
      <c r="C4" s="12" t="s">
        <v>204</v>
      </c>
      <c r="D4" s="12">
        <v>2020</v>
      </c>
      <c r="E4" s="12" t="s">
        <v>198</v>
      </c>
      <c r="F4" s="12" t="s">
        <v>199</v>
      </c>
      <c r="G4" s="12" t="s">
        <v>205</v>
      </c>
      <c r="H4" s="12" t="s">
        <v>206</v>
      </c>
      <c r="I4" s="12" t="s">
        <v>207</v>
      </c>
    </row>
    <row r="5" spans="1:9" ht="43.5" thickBot="1" x14ac:dyDescent="0.25">
      <c r="A5" s="34"/>
      <c r="B5" s="13" t="s">
        <v>208</v>
      </c>
      <c r="C5" s="12" t="s">
        <v>209</v>
      </c>
      <c r="D5" s="12">
        <v>2021</v>
      </c>
      <c r="E5" s="12" t="s">
        <v>210</v>
      </c>
      <c r="F5" s="12" t="s">
        <v>211</v>
      </c>
      <c r="G5" s="12" t="s">
        <v>200</v>
      </c>
      <c r="H5" s="12" t="s">
        <v>201</v>
      </c>
      <c r="I5" s="12" t="s">
        <v>212</v>
      </c>
    </row>
    <row r="6" spans="1:9" ht="43.5" thickBot="1" x14ac:dyDescent="0.25">
      <c r="A6" s="34"/>
      <c r="B6" s="13" t="s">
        <v>213</v>
      </c>
      <c r="C6" s="12" t="s">
        <v>214</v>
      </c>
      <c r="D6" s="12">
        <v>2017</v>
      </c>
      <c r="E6" s="12" t="s">
        <v>215</v>
      </c>
      <c r="F6" s="12" t="s">
        <v>216</v>
      </c>
      <c r="G6" s="12" t="s">
        <v>217</v>
      </c>
      <c r="H6" s="12" t="s">
        <v>201</v>
      </c>
      <c r="I6" s="12" t="s">
        <v>218</v>
      </c>
    </row>
    <row r="7" spans="1:9" ht="27" x14ac:dyDescent="0.2">
      <c r="A7" s="34"/>
      <c r="B7" s="36" t="s">
        <v>219</v>
      </c>
      <c r="C7" s="15" t="s">
        <v>220</v>
      </c>
      <c r="D7" s="33">
        <v>2009</v>
      </c>
      <c r="E7" s="33" t="s">
        <v>198</v>
      </c>
      <c r="F7" s="33" t="s">
        <v>222</v>
      </c>
      <c r="G7" s="33" t="s">
        <v>205</v>
      </c>
      <c r="H7" s="33" t="s">
        <v>206</v>
      </c>
      <c r="I7" s="33" t="s">
        <v>223</v>
      </c>
    </row>
    <row r="8" spans="1:9" x14ac:dyDescent="0.2">
      <c r="A8" s="34"/>
      <c r="B8" s="38"/>
      <c r="C8" s="16"/>
      <c r="D8" s="34"/>
      <c r="E8" s="34"/>
      <c r="F8" s="34"/>
      <c r="G8" s="34"/>
      <c r="H8" s="34"/>
      <c r="I8" s="34"/>
    </row>
    <row r="9" spans="1:9" ht="27.75" thickBot="1" x14ac:dyDescent="0.25">
      <c r="A9" s="34"/>
      <c r="B9" s="37"/>
      <c r="C9" s="12" t="s">
        <v>221</v>
      </c>
      <c r="D9" s="35"/>
      <c r="E9" s="35"/>
      <c r="F9" s="35"/>
      <c r="G9" s="35"/>
      <c r="H9" s="35"/>
      <c r="I9" s="35"/>
    </row>
    <row r="10" spans="1:9" ht="41.25" thickBot="1" x14ac:dyDescent="0.25">
      <c r="A10" s="34"/>
      <c r="B10" s="13" t="s">
        <v>224</v>
      </c>
      <c r="C10" s="12" t="s">
        <v>225</v>
      </c>
      <c r="D10" s="12">
        <v>2019</v>
      </c>
      <c r="E10" s="12" t="s">
        <v>210</v>
      </c>
      <c r="F10" s="12" t="s">
        <v>226</v>
      </c>
      <c r="G10" s="12" t="s">
        <v>200</v>
      </c>
      <c r="H10" s="12" t="s">
        <v>201</v>
      </c>
      <c r="I10" s="12" t="s">
        <v>227</v>
      </c>
    </row>
    <row r="11" spans="1:9" ht="54.75" thickBot="1" x14ac:dyDescent="0.25">
      <c r="A11" s="34"/>
      <c r="B11" s="13" t="s">
        <v>228</v>
      </c>
      <c r="C11" s="12" t="s">
        <v>229</v>
      </c>
      <c r="D11" s="12">
        <v>2019</v>
      </c>
      <c r="E11" s="12" t="s">
        <v>210</v>
      </c>
      <c r="F11" s="12" t="s">
        <v>226</v>
      </c>
      <c r="G11" s="12" t="s">
        <v>200</v>
      </c>
      <c r="H11" s="12" t="s">
        <v>201</v>
      </c>
      <c r="I11" s="12" t="s">
        <v>230</v>
      </c>
    </row>
    <row r="12" spans="1:9" ht="43.5" thickBot="1" x14ac:dyDescent="0.25">
      <c r="A12" s="34"/>
      <c r="B12" s="13" t="s">
        <v>231</v>
      </c>
      <c r="C12" s="12" t="s">
        <v>232</v>
      </c>
      <c r="D12" s="12">
        <v>2019</v>
      </c>
      <c r="E12" s="12" t="s">
        <v>198</v>
      </c>
      <c r="F12" s="12" t="s">
        <v>233</v>
      </c>
      <c r="G12" s="12" t="s">
        <v>200</v>
      </c>
      <c r="H12" s="12" t="s">
        <v>201</v>
      </c>
      <c r="I12" s="12" t="s">
        <v>234</v>
      </c>
    </row>
    <row r="13" spans="1:9" ht="41.25" thickBot="1" x14ac:dyDescent="0.25">
      <c r="A13" s="34"/>
      <c r="B13" s="13" t="s">
        <v>235</v>
      </c>
      <c r="C13" s="12" t="s">
        <v>236</v>
      </c>
      <c r="D13" s="12">
        <v>2018</v>
      </c>
      <c r="E13" s="12" t="s">
        <v>198</v>
      </c>
      <c r="F13" s="12" t="s">
        <v>199</v>
      </c>
      <c r="G13" s="12" t="s">
        <v>200</v>
      </c>
      <c r="H13" s="12" t="s">
        <v>201</v>
      </c>
      <c r="I13" s="12" t="s">
        <v>237</v>
      </c>
    </row>
    <row r="14" spans="1:9" ht="54.75" thickBot="1" x14ac:dyDescent="0.25">
      <c r="A14" s="34"/>
      <c r="B14" s="13" t="s">
        <v>238</v>
      </c>
      <c r="C14" s="12" t="s">
        <v>239</v>
      </c>
      <c r="D14" s="12">
        <v>2019</v>
      </c>
      <c r="E14" s="12" t="s">
        <v>198</v>
      </c>
      <c r="F14" s="12" t="s">
        <v>240</v>
      </c>
      <c r="G14" s="12" t="s">
        <v>200</v>
      </c>
      <c r="H14" s="12" t="s">
        <v>201</v>
      </c>
      <c r="I14" s="12" t="s">
        <v>241</v>
      </c>
    </row>
    <row r="15" spans="1:9" ht="41.25" thickBot="1" x14ac:dyDescent="0.25">
      <c r="A15" s="34"/>
      <c r="B15" s="13" t="s">
        <v>242</v>
      </c>
      <c r="C15" s="12" t="s">
        <v>243</v>
      </c>
      <c r="D15" s="12">
        <v>2019</v>
      </c>
      <c r="E15" s="12" t="s">
        <v>210</v>
      </c>
      <c r="F15" s="12" t="s">
        <v>226</v>
      </c>
      <c r="G15" s="12" t="s">
        <v>200</v>
      </c>
      <c r="H15" s="12" t="s">
        <v>201</v>
      </c>
      <c r="I15" s="12" t="s">
        <v>244</v>
      </c>
    </row>
    <row r="16" spans="1:9" ht="41.25" thickBot="1" x14ac:dyDescent="0.25">
      <c r="A16" s="34"/>
      <c r="B16" s="13" t="s">
        <v>245</v>
      </c>
      <c r="C16" s="12" t="s">
        <v>246</v>
      </c>
      <c r="D16" s="12">
        <v>2020</v>
      </c>
      <c r="E16" s="12" t="s">
        <v>215</v>
      </c>
      <c r="F16" s="12" t="s">
        <v>247</v>
      </c>
      <c r="G16" s="12" t="s">
        <v>200</v>
      </c>
      <c r="H16" s="12" t="s">
        <v>201</v>
      </c>
      <c r="I16" s="12" t="s">
        <v>248</v>
      </c>
    </row>
    <row r="17" spans="1:9" ht="68.25" thickBot="1" x14ac:dyDescent="0.25">
      <c r="A17" s="34"/>
      <c r="B17" s="13" t="s">
        <v>249</v>
      </c>
      <c r="C17" s="12" t="s">
        <v>250</v>
      </c>
      <c r="D17" s="12">
        <v>2020</v>
      </c>
      <c r="E17" s="12" t="s">
        <v>210</v>
      </c>
      <c r="F17" s="12" t="s">
        <v>226</v>
      </c>
      <c r="G17" s="12" t="s">
        <v>200</v>
      </c>
      <c r="H17" s="12" t="s">
        <v>201</v>
      </c>
      <c r="I17" s="12" t="s">
        <v>251</v>
      </c>
    </row>
    <row r="18" spans="1:9" ht="54.75" thickBot="1" x14ac:dyDescent="0.25">
      <c r="A18" s="34"/>
      <c r="B18" s="13" t="s">
        <v>252</v>
      </c>
      <c r="C18" s="12" t="s">
        <v>253</v>
      </c>
      <c r="D18" s="12">
        <v>2021</v>
      </c>
      <c r="E18" s="12" t="s">
        <v>210</v>
      </c>
      <c r="F18" s="12" t="s">
        <v>226</v>
      </c>
      <c r="G18" s="12" t="s">
        <v>200</v>
      </c>
      <c r="H18" s="12" t="s">
        <v>201</v>
      </c>
      <c r="I18" s="12" t="s">
        <v>254</v>
      </c>
    </row>
    <row r="19" spans="1:9" ht="43.5" thickBot="1" x14ac:dyDescent="0.25">
      <c r="A19" s="34"/>
      <c r="B19" s="13" t="s">
        <v>255</v>
      </c>
      <c r="C19" s="12" t="s">
        <v>256</v>
      </c>
      <c r="D19" s="12">
        <v>2021</v>
      </c>
      <c r="E19" s="12" t="s">
        <v>210</v>
      </c>
      <c r="F19" s="12" t="s">
        <v>226</v>
      </c>
      <c r="G19" s="12" t="s">
        <v>200</v>
      </c>
      <c r="H19" s="12" t="s">
        <v>201</v>
      </c>
      <c r="I19" s="12" t="s">
        <v>257</v>
      </c>
    </row>
    <row r="20" spans="1:9" ht="81.75" thickBot="1" x14ac:dyDescent="0.25">
      <c r="A20" s="34"/>
      <c r="B20" s="13" t="s">
        <v>258</v>
      </c>
      <c r="C20" s="12" t="s">
        <v>259</v>
      </c>
      <c r="D20" s="12">
        <v>2021</v>
      </c>
      <c r="E20" s="12" t="s">
        <v>198</v>
      </c>
      <c r="F20" s="12" t="s">
        <v>240</v>
      </c>
      <c r="G20" s="12" t="s">
        <v>200</v>
      </c>
      <c r="H20" s="12" t="s">
        <v>201</v>
      </c>
      <c r="I20" s="12" t="s">
        <v>260</v>
      </c>
    </row>
    <row r="21" spans="1:9" ht="43.5" thickBot="1" x14ac:dyDescent="0.25">
      <c r="A21" s="34"/>
      <c r="B21" s="13" t="s">
        <v>261</v>
      </c>
      <c r="C21" s="12" t="s">
        <v>262</v>
      </c>
      <c r="D21" s="12">
        <v>2021</v>
      </c>
      <c r="E21" s="12" t="s">
        <v>198</v>
      </c>
      <c r="F21" s="12" t="s">
        <v>240</v>
      </c>
      <c r="G21" s="12" t="s">
        <v>200</v>
      </c>
      <c r="H21" s="12" t="s">
        <v>201</v>
      </c>
      <c r="I21" s="12" t="s">
        <v>263</v>
      </c>
    </row>
    <row r="22" spans="1:9" ht="40.5" x14ac:dyDescent="0.2">
      <c r="A22" s="34"/>
      <c r="B22" s="36" t="s">
        <v>264</v>
      </c>
      <c r="C22" s="15" t="s">
        <v>265</v>
      </c>
      <c r="D22" s="33">
        <v>2020</v>
      </c>
      <c r="E22" s="33" t="s">
        <v>198</v>
      </c>
      <c r="F22" s="33" t="s">
        <v>240</v>
      </c>
      <c r="G22" s="33" t="s">
        <v>200</v>
      </c>
      <c r="H22" s="33" t="s">
        <v>201</v>
      </c>
      <c r="I22" s="33" t="s">
        <v>267</v>
      </c>
    </row>
    <row r="23" spans="1:9" x14ac:dyDescent="0.2">
      <c r="A23" s="34"/>
      <c r="B23" s="38"/>
      <c r="C23" s="16"/>
      <c r="D23" s="34"/>
      <c r="E23" s="34"/>
      <c r="F23" s="34"/>
      <c r="G23" s="34"/>
      <c r="H23" s="34"/>
      <c r="I23" s="34"/>
    </row>
    <row r="24" spans="1:9" ht="27.75" thickBot="1" x14ac:dyDescent="0.25">
      <c r="A24" s="34"/>
      <c r="B24" s="37"/>
      <c r="C24" s="12" t="s">
        <v>266</v>
      </c>
      <c r="D24" s="35"/>
      <c r="E24" s="35"/>
      <c r="F24" s="35"/>
      <c r="G24" s="35"/>
      <c r="H24" s="35"/>
      <c r="I24" s="35"/>
    </row>
    <row r="25" spans="1:9" ht="41.25" thickBot="1" x14ac:dyDescent="0.25">
      <c r="A25" s="35"/>
      <c r="B25" s="13" t="s">
        <v>268</v>
      </c>
      <c r="C25" s="12" t="s">
        <v>269</v>
      </c>
      <c r="D25" s="12">
        <v>2012</v>
      </c>
      <c r="E25" s="12" t="s">
        <v>215</v>
      </c>
      <c r="F25" s="12" t="s">
        <v>247</v>
      </c>
      <c r="G25" s="12" t="s">
        <v>270</v>
      </c>
      <c r="H25" s="12" t="s">
        <v>201</v>
      </c>
      <c r="I25" s="12" t="s">
        <v>271</v>
      </c>
    </row>
    <row r="26" spans="1:9" ht="41.25" thickBot="1" x14ac:dyDescent="0.25">
      <c r="A26" s="33" t="s">
        <v>272</v>
      </c>
      <c r="B26" s="13" t="s">
        <v>273</v>
      </c>
      <c r="C26" s="12" t="s">
        <v>274</v>
      </c>
      <c r="D26" s="12">
        <v>2021</v>
      </c>
      <c r="E26" s="12" t="s">
        <v>198</v>
      </c>
      <c r="F26" s="12" t="s">
        <v>240</v>
      </c>
      <c r="G26" s="12" t="s">
        <v>200</v>
      </c>
      <c r="H26" s="12" t="s">
        <v>275</v>
      </c>
      <c r="I26" s="12" t="s">
        <v>276</v>
      </c>
    </row>
    <row r="27" spans="1:9" ht="41.25" thickBot="1" x14ac:dyDescent="0.25">
      <c r="A27" s="34"/>
      <c r="B27" s="13" t="s">
        <v>277</v>
      </c>
      <c r="C27" s="12" t="s">
        <v>278</v>
      </c>
      <c r="D27" s="12">
        <v>2021</v>
      </c>
      <c r="E27" s="12" t="s">
        <v>215</v>
      </c>
      <c r="F27" s="12" t="s">
        <v>279</v>
      </c>
      <c r="G27" s="12" t="s">
        <v>200</v>
      </c>
      <c r="H27" s="12" t="s">
        <v>275</v>
      </c>
      <c r="I27" s="12" t="s">
        <v>280</v>
      </c>
    </row>
    <row r="28" spans="1:9" ht="41.25" thickBot="1" x14ac:dyDescent="0.25">
      <c r="A28" s="34"/>
      <c r="B28" s="13" t="s">
        <v>281</v>
      </c>
      <c r="C28" s="12" t="s">
        <v>282</v>
      </c>
      <c r="D28" s="12">
        <v>2021</v>
      </c>
      <c r="E28" s="12" t="s">
        <v>198</v>
      </c>
      <c r="F28" s="12" t="s">
        <v>283</v>
      </c>
      <c r="G28" s="12" t="s">
        <v>200</v>
      </c>
      <c r="H28" s="12" t="s">
        <v>275</v>
      </c>
      <c r="I28" s="12" t="s">
        <v>284</v>
      </c>
    </row>
    <row r="29" spans="1:9" ht="43.5" thickBot="1" x14ac:dyDescent="0.25">
      <c r="A29" s="34"/>
      <c r="B29" s="13" t="s">
        <v>285</v>
      </c>
      <c r="C29" s="12" t="s">
        <v>286</v>
      </c>
      <c r="D29" s="12">
        <v>2021</v>
      </c>
      <c r="E29" s="12" t="s">
        <v>198</v>
      </c>
      <c r="F29" s="12" t="s">
        <v>287</v>
      </c>
      <c r="G29" s="12" t="s">
        <v>200</v>
      </c>
      <c r="H29" s="12" t="s">
        <v>275</v>
      </c>
      <c r="I29" s="12" t="s">
        <v>288</v>
      </c>
    </row>
    <row r="30" spans="1:9" ht="54.75" thickBot="1" x14ac:dyDescent="0.25">
      <c r="A30" s="34"/>
      <c r="B30" s="13" t="s">
        <v>289</v>
      </c>
      <c r="C30" s="12" t="s">
        <v>290</v>
      </c>
      <c r="D30" s="12">
        <v>2020</v>
      </c>
      <c r="E30" s="12" t="s">
        <v>198</v>
      </c>
      <c r="F30" s="12" t="s">
        <v>291</v>
      </c>
      <c r="G30" s="12" t="s">
        <v>270</v>
      </c>
      <c r="H30" s="12" t="s">
        <v>275</v>
      </c>
      <c r="I30" s="12" t="s">
        <v>292</v>
      </c>
    </row>
    <row r="31" spans="1:9" ht="28.5" x14ac:dyDescent="0.2">
      <c r="A31" s="34"/>
      <c r="B31" s="14" t="s">
        <v>293</v>
      </c>
      <c r="C31" s="33" t="s">
        <v>295</v>
      </c>
      <c r="D31" s="33">
        <v>2020</v>
      </c>
      <c r="E31" s="33" t="s">
        <v>198</v>
      </c>
      <c r="F31" s="33" t="s">
        <v>240</v>
      </c>
      <c r="G31" s="33" t="s">
        <v>200</v>
      </c>
      <c r="H31" s="33" t="s">
        <v>275</v>
      </c>
      <c r="I31" s="33" t="s">
        <v>296</v>
      </c>
    </row>
    <row r="32" spans="1:9" ht="15" thickBot="1" x14ac:dyDescent="0.25">
      <c r="A32" s="34"/>
      <c r="B32" s="13" t="s">
        <v>294</v>
      </c>
      <c r="C32" s="35"/>
      <c r="D32" s="35"/>
      <c r="E32" s="35"/>
      <c r="F32" s="35"/>
      <c r="G32" s="35"/>
      <c r="H32" s="35"/>
      <c r="I32" s="35"/>
    </row>
    <row r="33" spans="1:9" ht="41.25" thickBot="1" x14ac:dyDescent="0.25">
      <c r="A33" s="34"/>
      <c r="B33" s="13" t="s">
        <v>297</v>
      </c>
      <c r="C33" s="12" t="s">
        <v>298</v>
      </c>
      <c r="D33" s="12">
        <v>2020</v>
      </c>
      <c r="E33" s="12" t="s">
        <v>215</v>
      </c>
      <c r="F33" s="12" t="s">
        <v>299</v>
      </c>
      <c r="G33" s="12" t="s">
        <v>200</v>
      </c>
      <c r="H33" s="12" t="s">
        <v>275</v>
      </c>
      <c r="I33" s="12" t="s">
        <v>300</v>
      </c>
    </row>
    <row r="34" spans="1:9" ht="43.5" thickBot="1" x14ac:dyDescent="0.25">
      <c r="A34" s="34"/>
      <c r="B34" s="13" t="s">
        <v>301</v>
      </c>
      <c r="C34" s="12" t="s">
        <v>302</v>
      </c>
      <c r="D34" s="12">
        <v>2020</v>
      </c>
      <c r="E34" s="12" t="s">
        <v>198</v>
      </c>
      <c r="F34" s="12" t="s">
        <v>233</v>
      </c>
      <c r="G34" s="12" t="s">
        <v>200</v>
      </c>
      <c r="H34" s="12" t="s">
        <v>275</v>
      </c>
      <c r="I34" s="12" t="s">
        <v>303</v>
      </c>
    </row>
    <row r="35" spans="1:9" ht="41.25" thickBot="1" x14ac:dyDescent="0.25">
      <c r="A35" s="34"/>
      <c r="B35" s="13" t="s">
        <v>304</v>
      </c>
      <c r="C35" s="12" t="s">
        <v>305</v>
      </c>
      <c r="D35" s="12">
        <v>2020</v>
      </c>
      <c r="E35" s="12" t="s">
        <v>198</v>
      </c>
      <c r="F35" s="12" t="s">
        <v>233</v>
      </c>
      <c r="G35" s="12" t="s">
        <v>200</v>
      </c>
      <c r="H35" s="12" t="s">
        <v>275</v>
      </c>
      <c r="I35" s="12" t="s">
        <v>306</v>
      </c>
    </row>
    <row r="36" spans="1:9" ht="43.5" thickBot="1" x14ac:dyDescent="0.25">
      <c r="A36" s="34"/>
      <c r="B36" s="13" t="s">
        <v>307</v>
      </c>
      <c r="C36" s="12" t="s">
        <v>308</v>
      </c>
      <c r="D36" s="12">
        <v>2020</v>
      </c>
      <c r="E36" s="12" t="s">
        <v>198</v>
      </c>
      <c r="F36" s="12" t="s">
        <v>287</v>
      </c>
      <c r="G36" s="12" t="s">
        <v>200</v>
      </c>
      <c r="H36" s="12" t="s">
        <v>275</v>
      </c>
      <c r="I36" s="12" t="s">
        <v>309</v>
      </c>
    </row>
    <row r="37" spans="1:9" ht="54.75" thickBot="1" x14ac:dyDescent="0.25">
      <c r="A37" s="34"/>
      <c r="B37" s="13" t="s">
        <v>310</v>
      </c>
      <c r="C37" s="12" t="s">
        <v>311</v>
      </c>
      <c r="D37" s="12">
        <v>2019</v>
      </c>
      <c r="E37" s="12" t="s">
        <v>198</v>
      </c>
      <c r="F37" s="12" t="s">
        <v>233</v>
      </c>
      <c r="G37" s="12" t="s">
        <v>200</v>
      </c>
      <c r="H37" s="12" t="s">
        <v>275</v>
      </c>
      <c r="I37" s="12" t="s">
        <v>312</v>
      </c>
    </row>
    <row r="38" spans="1:9" ht="41.25" thickBot="1" x14ac:dyDescent="0.25">
      <c r="A38" s="34"/>
      <c r="B38" s="13" t="s">
        <v>313</v>
      </c>
      <c r="C38" s="12" t="s">
        <v>314</v>
      </c>
      <c r="D38" s="12">
        <v>2020</v>
      </c>
      <c r="E38" s="12" t="s">
        <v>198</v>
      </c>
      <c r="F38" s="12" t="s">
        <v>283</v>
      </c>
      <c r="G38" s="12" t="s">
        <v>200</v>
      </c>
      <c r="H38" s="12" t="s">
        <v>275</v>
      </c>
      <c r="I38" s="12" t="s">
        <v>306</v>
      </c>
    </row>
    <row r="39" spans="1:9" x14ac:dyDescent="0.2">
      <c r="A39" s="34"/>
      <c r="B39" s="36" t="s">
        <v>315</v>
      </c>
      <c r="C39" s="15" t="s">
        <v>316</v>
      </c>
      <c r="D39" s="33">
        <v>2015</v>
      </c>
      <c r="E39" s="33" t="s">
        <v>198</v>
      </c>
      <c r="F39" s="33" t="s">
        <v>233</v>
      </c>
      <c r="G39" s="33" t="s">
        <v>318</v>
      </c>
      <c r="H39" s="33" t="s">
        <v>275</v>
      </c>
      <c r="I39" s="33" t="s">
        <v>319</v>
      </c>
    </row>
    <row r="40" spans="1:9" ht="41.25" thickBot="1" x14ac:dyDescent="0.25">
      <c r="A40" s="34"/>
      <c r="B40" s="37"/>
      <c r="C40" s="12" t="s">
        <v>317</v>
      </c>
      <c r="D40" s="35"/>
      <c r="E40" s="35"/>
      <c r="F40" s="35"/>
      <c r="G40" s="35"/>
      <c r="H40" s="35"/>
      <c r="I40" s="35"/>
    </row>
    <row r="41" spans="1:9" x14ac:dyDescent="0.2">
      <c r="A41" s="34"/>
      <c r="B41" s="36" t="s">
        <v>320</v>
      </c>
      <c r="C41" s="15" t="s">
        <v>321</v>
      </c>
      <c r="D41" s="33">
        <v>2021</v>
      </c>
      <c r="E41" s="33" t="s">
        <v>198</v>
      </c>
      <c r="F41" s="33" t="s">
        <v>240</v>
      </c>
      <c r="G41" s="33" t="s">
        <v>200</v>
      </c>
      <c r="H41" s="33" t="s">
        <v>275</v>
      </c>
      <c r="I41" s="33" t="s">
        <v>332</v>
      </c>
    </row>
    <row r="42" spans="1:9" x14ac:dyDescent="0.2">
      <c r="A42" s="34"/>
      <c r="B42" s="38"/>
      <c r="C42" s="15" t="s">
        <v>322</v>
      </c>
      <c r="D42" s="34"/>
      <c r="E42" s="34"/>
      <c r="F42" s="34"/>
      <c r="G42" s="34"/>
      <c r="H42" s="34"/>
      <c r="I42" s="34"/>
    </row>
    <row r="43" spans="1:9" x14ac:dyDescent="0.2">
      <c r="A43" s="34"/>
      <c r="B43" s="38"/>
      <c r="C43" s="15" t="s">
        <v>323</v>
      </c>
      <c r="D43" s="34"/>
      <c r="E43" s="34"/>
      <c r="F43" s="34"/>
      <c r="G43" s="34"/>
      <c r="H43" s="34"/>
      <c r="I43" s="34"/>
    </row>
    <row r="44" spans="1:9" x14ac:dyDescent="0.2">
      <c r="A44" s="34"/>
      <c r="B44" s="38"/>
      <c r="C44" s="15" t="s">
        <v>324</v>
      </c>
      <c r="D44" s="34"/>
      <c r="E44" s="34"/>
      <c r="F44" s="34"/>
      <c r="G44" s="34"/>
      <c r="H44" s="34"/>
      <c r="I44" s="34"/>
    </row>
    <row r="45" spans="1:9" x14ac:dyDescent="0.2">
      <c r="A45" s="34"/>
      <c r="B45" s="38"/>
      <c r="C45" s="15" t="s">
        <v>325</v>
      </c>
      <c r="D45" s="34"/>
      <c r="E45" s="34"/>
      <c r="F45" s="34"/>
      <c r="G45" s="34"/>
      <c r="H45" s="34"/>
      <c r="I45" s="34"/>
    </row>
    <row r="46" spans="1:9" x14ac:dyDescent="0.2">
      <c r="A46" s="34"/>
      <c r="B46" s="38"/>
      <c r="C46" s="15" t="s">
        <v>326</v>
      </c>
      <c r="D46" s="34"/>
      <c r="E46" s="34"/>
      <c r="F46" s="34"/>
      <c r="G46" s="34"/>
      <c r="H46" s="34"/>
      <c r="I46" s="34"/>
    </row>
    <row r="47" spans="1:9" x14ac:dyDescent="0.2">
      <c r="A47" s="34"/>
      <c r="B47" s="38"/>
      <c r="C47" s="15" t="s">
        <v>327</v>
      </c>
      <c r="D47" s="34"/>
      <c r="E47" s="34"/>
      <c r="F47" s="34"/>
      <c r="G47" s="34"/>
      <c r="H47" s="34"/>
      <c r="I47" s="34"/>
    </row>
    <row r="48" spans="1:9" ht="27" x14ac:dyDescent="0.2">
      <c r="A48" s="34"/>
      <c r="B48" s="38"/>
      <c r="C48" s="15" t="s">
        <v>328</v>
      </c>
      <c r="D48" s="34"/>
      <c r="E48" s="34"/>
      <c r="F48" s="34"/>
      <c r="G48" s="34"/>
      <c r="H48" s="34"/>
      <c r="I48" s="34"/>
    </row>
    <row r="49" spans="1:9" x14ac:dyDescent="0.2">
      <c r="A49" s="34"/>
      <c r="B49" s="38"/>
      <c r="C49" s="15" t="s">
        <v>329</v>
      </c>
      <c r="D49" s="34"/>
      <c r="E49" s="34"/>
      <c r="F49" s="34"/>
      <c r="G49" s="34"/>
      <c r="H49" s="34"/>
      <c r="I49" s="34"/>
    </row>
    <row r="50" spans="1:9" ht="27" x14ac:dyDescent="0.2">
      <c r="A50" s="34"/>
      <c r="B50" s="38"/>
      <c r="C50" s="15" t="s">
        <v>330</v>
      </c>
      <c r="D50" s="34"/>
      <c r="E50" s="34"/>
      <c r="F50" s="34"/>
      <c r="G50" s="34"/>
      <c r="H50" s="34"/>
      <c r="I50" s="34"/>
    </row>
    <row r="51" spans="1:9" ht="15" thickBot="1" x14ac:dyDescent="0.25">
      <c r="A51" s="34"/>
      <c r="B51" s="37"/>
      <c r="C51" s="12" t="s">
        <v>331</v>
      </c>
      <c r="D51" s="35"/>
      <c r="E51" s="35"/>
      <c r="F51" s="35"/>
      <c r="G51" s="35"/>
      <c r="H51" s="35"/>
      <c r="I51" s="35"/>
    </row>
    <row r="52" spans="1:9" ht="81.75" thickBot="1" x14ac:dyDescent="0.25">
      <c r="A52" s="34"/>
      <c r="B52" s="13" t="s">
        <v>333</v>
      </c>
      <c r="C52" s="12" t="s">
        <v>334</v>
      </c>
      <c r="D52" s="12">
        <v>2019</v>
      </c>
      <c r="E52" s="12" t="s">
        <v>335</v>
      </c>
      <c r="F52" s="12" t="s">
        <v>336</v>
      </c>
      <c r="G52" s="12" t="s">
        <v>200</v>
      </c>
      <c r="H52" s="12" t="s">
        <v>275</v>
      </c>
      <c r="I52" s="12" t="s">
        <v>337</v>
      </c>
    </row>
    <row r="53" spans="1:9" ht="43.5" thickBot="1" x14ac:dyDescent="0.25">
      <c r="A53" s="34"/>
      <c r="B53" s="13" t="s">
        <v>338</v>
      </c>
      <c r="C53" s="12" t="s">
        <v>339</v>
      </c>
      <c r="D53" s="12">
        <v>2017</v>
      </c>
      <c r="E53" s="12" t="s">
        <v>198</v>
      </c>
      <c r="F53" s="12" t="s">
        <v>287</v>
      </c>
      <c r="G53" s="12" t="s">
        <v>200</v>
      </c>
      <c r="H53" s="12" t="s">
        <v>275</v>
      </c>
      <c r="I53" s="12" t="s">
        <v>340</v>
      </c>
    </row>
    <row r="54" spans="1:9" ht="40.5" x14ac:dyDescent="0.2">
      <c r="A54" s="34"/>
      <c r="B54" s="36" t="s">
        <v>341</v>
      </c>
      <c r="C54" s="15" t="s">
        <v>342</v>
      </c>
      <c r="D54" s="33">
        <v>2017</v>
      </c>
      <c r="E54" s="33" t="s">
        <v>210</v>
      </c>
      <c r="F54" s="33" t="s">
        <v>344</v>
      </c>
      <c r="G54" s="33" t="s">
        <v>200</v>
      </c>
      <c r="H54" s="33" t="s">
        <v>275</v>
      </c>
      <c r="I54" s="33" t="s">
        <v>345</v>
      </c>
    </row>
    <row r="55" spans="1:9" x14ac:dyDescent="0.2">
      <c r="A55" s="34"/>
      <c r="B55" s="38"/>
      <c r="C55" s="16"/>
      <c r="D55" s="34"/>
      <c r="E55" s="34"/>
      <c r="F55" s="34"/>
      <c r="G55" s="34"/>
      <c r="H55" s="34"/>
      <c r="I55" s="34"/>
    </row>
    <row r="56" spans="1:9" ht="27.75" thickBot="1" x14ac:dyDescent="0.25">
      <c r="A56" s="34"/>
      <c r="B56" s="37"/>
      <c r="C56" s="12" t="s">
        <v>343</v>
      </c>
      <c r="D56" s="35"/>
      <c r="E56" s="35"/>
      <c r="F56" s="35"/>
      <c r="G56" s="35"/>
      <c r="H56" s="35"/>
      <c r="I56" s="35"/>
    </row>
    <row r="57" spans="1:9" ht="57.75" thickBot="1" x14ac:dyDescent="0.25">
      <c r="A57" s="34"/>
      <c r="B57" s="13" t="s">
        <v>346</v>
      </c>
      <c r="C57" s="12" t="s">
        <v>347</v>
      </c>
      <c r="D57" s="12">
        <v>2021</v>
      </c>
      <c r="E57" s="12" t="s">
        <v>210</v>
      </c>
      <c r="F57" s="12" t="s">
        <v>348</v>
      </c>
      <c r="G57" s="12" t="s">
        <v>318</v>
      </c>
      <c r="H57" s="12" t="s">
        <v>275</v>
      </c>
      <c r="I57" s="12" t="s">
        <v>349</v>
      </c>
    </row>
    <row r="58" spans="1:9" ht="41.25" thickBot="1" x14ac:dyDescent="0.25">
      <c r="A58" s="35"/>
      <c r="B58" s="13" t="s">
        <v>350</v>
      </c>
      <c r="C58" s="12" t="s">
        <v>351</v>
      </c>
      <c r="D58" s="12">
        <v>2015</v>
      </c>
      <c r="E58" s="12" t="s">
        <v>210</v>
      </c>
      <c r="F58" s="12" t="s">
        <v>352</v>
      </c>
      <c r="G58" s="12" t="s">
        <v>318</v>
      </c>
      <c r="H58" s="12" t="s">
        <v>275</v>
      </c>
      <c r="I58" s="12" t="s">
        <v>353</v>
      </c>
    </row>
    <row r="59" spans="1:9" x14ac:dyDescent="0.2">
      <c r="A59" s="33" t="s">
        <v>354</v>
      </c>
      <c r="B59" s="36" t="s">
        <v>355</v>
      </c>
      <c r="C59" s="16"/>
      <c r="D59" s="33">
        <v>2021</v>
      </c>
      <c r="E59" s="33" t="s">
        <v>357</v>
      </c>
      <c r="F59" s="33" t="s">
        <v>358</v>
      </c>
      <c r="G59" s="33" t="s">
        <v>200</v>
      </c>
      <c r="H59" s="33" t="s">
        <v>359</v>
      </c>
      <c r="I59" s="33" t="s">
        <v>360</v>
      </c>
    </row>
    <row r="60" spans="1:9" ht="54.75" thickBot="1" x14ac:dyDescent="0.25">
      <c r="A60" s="34"/>
      <c r="B60" s="37"/>
      <c r="C60" s="12" t="s">
        <v>356</v>
      </c>
      <c r="D60" s="35"/>
      <c r="E60" s="35"/>
      <c r="F60" s="35"/>
      <c r="G60" s="35"/>
      <c r="H60" s="35"/>
      <c r="I60" s="35"/>
    </row>
    <row r="61" spans="1:9" ht="68.25" thickBot="1" x14ac:dyDescent="0.25">
      <c r="A61" s="34"/>
      <c r="B61" s="13" t="s">
        <v>361</v>
      </c>
      <c r="C61" s="12" t="s">
        <v>362</v>
      </c>
      <c r="D61" s="12">
        <v>2021</v>
      </c>
      <c r="E61" s="12" t="s">
        <v>215</v>
      </c>
      <c r="F61" s="12" t="s">
        <v>363</v>
      </c>
      <c r="G61" s="12" t="s">
        <v>200</v>
      </c>
      <c r="H61" s="12" t="s">
        <v>359</v>
      </c>
      <c r="I61" s="12" t="s">
        <v>364</v>
      </c>
    </row>
    <row r="62" spans="1:9" ht="43.5" thickBot="1" x14ac:dyDescent="0.25">
      <c r="A62" s="34"/>
      <c r="B62" s="13" t="s">
        <v>365</v>
      </c>
      <c r="C62" s="12" t="s">
        <v>366</v>
      </c>
      <c r="D62" s="12">
        <v>2021</v>
      </c>
      <c r="E62" s="12" t="s">
        <v>210</v>
      </c>
      <c r="F62" s="12" t="s">
        <v>367</v>
      </c>
      <c r="G62" s="12" t="s">
        <v>200</v>
      </c>
      <c r="H62" s="12" t="s">
        <v>359</v>
      </c>
      <c r="I62" s="12" t="s">
        <v>368</v>
      </c>
    </row>
    <row r="63" spans="1:9" ht="68.25" thickBot="1" x14ac:dyDescent="0.25">
      <c r="A63" s="34"/>
      <c r="B63" s="13" t="s">
        <v>369</v>
      </c>
      <c r="C63" s="12" t="s">
        <v>370</v>
      </c>
      <c r="D63" s="12">
        <v>2021</v>
      </c>
      <c r="E63" s="12" t="s">
        <v>198</v>
      </c>
      <c r="F63" s="12" t="s">
        <v>371</v>
      </c>
      <c r="G63" s="12" t="s">
        <v>200</v>
      </c>
      <c r="H63" s="12" t="s">
        <v>359</v>
      </c>
      <c r="I63" s="12" t="s">
        <v>372</v>
      </c>
    </row>
    <row r="64" spans="1:9" ht="43.5" thickBot="1" x14ac:dyDescent="0.25">
      <c r="A64" s="34"/>
      <c r="B64" s="13" t="s">
        <v>373</v>
      </c>
      <c r="C64" s="12" t="s">
        <v>374</v>
      </c>
      <c r="D64" s="12">
        <v>2020</v>
      </c>
      <c r="E64" s="12" t="s">
        <v>210</v>
      </c>
      <c r="F64" s="12" t="s">
        <v>375</v>
      </c>
      <c r="G64" s="12" t="s">
        <v>270</v>
      </c>
      <c r="H64" s="12" t="s">
        <v>359</v>
      </c>
      <c r="I64" s="12" t="s">
        <v>376</v>
      </c>
    </row>
    <row r="65" spans="1:9" ht="41.25" thickBot="1" x14ac:dyDescent="0.25">
      <c r="A65" s="34"/>
      <c r="B65" s="13" t="s">
        <v>377</v>
      </c>
      <c r="C65" s="12" t="s">
        <v>378</v>
      </c>
      <c r="D65" s="12">
        <v>2020</v>
      </c>
      <c r="E65" s="12" t="s">
        <v>198</v>
      </c>
      <c r="F65" s="12" t="s">
        <v>371</v>
      </c>
      <c r="G65" s="12" t="s">
        <v>200</v>
      </c>
      <c r="H65" s="12" t="s">
        <v>359</v>
      </c>
      <c r="I65" s="12" t="s">
        <v>379</v>
      </c>
    </row>
    <row r="66" spans="1:9" ht="81.75" thickBot="1" x14ac:dyDescent="0.25">
      <c r="A66" s="34"/>
      <c r="B66" s="13" t="s">
        <v>380</v>
      </c>
      <c r="C66" s="12" t="s">
        <v>381</v>
      </c>
      <c r="D66" s="12">
        <v>2020</v>
      </c>
      <c r="E66" s="12" t="s">
        <v>335</v>
      </c>
      <c r="F66" s="12" t="s">
        <v>382</v>
      </c>
      <c r="G66" s="12" t="s">
        <v>200</v>
      </c>
      <c r="H66" s="12" t="s">
        <v>359</v>
      </c>
      <c r="I66" s="12" t="s">
        <v>383</v>
      </c>
    </row>
    <row r="67" spans="1:9" ht="54.75" thickBot="1" x14ac:dyDescent="0.25">
      <c r="A67" s="34"/>
      <c r="B67" s="13" t="s">
        <v>384</v>
      </c>
      <c r="C67" s="12" t="s">
        <v>385</v>
      </c>
      <c r="D67" s="12">
        <v>2019</v>
      </c>
      <c r="E67" s="12" t="s">
        <v>198</v>
      </c>
      <c r="F67" s="12" t="s">
        <v>386</v>
      </c>
      <c r="G67" s="12" t="s">
        <v>200</v>
      </c>
      <c r="H67" s="12" t="s">
        <v>359</v>
      </c>
      <c r="I67" s="12" t="s">
        <v>387</v>
      </c>
    </row>
    <row r="68" spans="1:9" ht="54.75" thickBot="1" x14ac:dyDescent="0.25">
      <c r="A68" s="34"/>
      <c r="B68" s="13" t="s">
        <v>388</v>
      </c>
      <c r="C68" s="12" t="s">
        <v>389</v>
      </c>
      <c r="D68" s="12">
        <v>2019</v>
      </c>
      <c r="E68" s="12" t="s">
        <v>198</v>
      </c>
      <c r="F68" s="12" t="s">
        <v>371</v>
      </c>
      <c r="G68" s="12" t="s">
        <v>200</v>
      </c>
      <c r="H68" s="12" t="s">
        <v>359</v>
      </c>
      <c r="I68" s="12" t="s">
        <v>390</v>
      </c>
    </row>
    <row r="69" spans="1:9" ht="41.25" thickBot="1" x14ac:dyDescent="0.25">
      <c r="A69" s="34"/>
      <c r="B69" s="13" t="s">
        <v>391</v>
      </c>
      <c r="C69" s="12" t="s">
        <v>392</v>
      </c>
      <c r="D69" s="12">
        <v>2019</v>
      </c>
      <c r="E69" s="12" t="s">
        <v>198</v>
      </c>
      <c r="F69" s="12" t="s">
        <v>371</v>
      </c>
      <c r="G69" s="12" t="s">
        <v>200</v>
      </c>
      <c r="H69" s="12" t="s">
        <v>359</v>
      </c>
      <c r="I69" s="12" t="s">
        <v>393</v>
      </c>
    </row>
    <row r="70" spans="1:9" ht="41.25" thickBot="1" x14ac:dyDescent="0.25">
      <c r="A70" s="34"/>
      <c r="B70" s="13" t="s">
        <v>394</v>
      </c>
      <c r="C70" s="12" t="s">
        <v>395</v>
      </c>
      <c r="D70" s="12">
        <v>2018</v>
      </c>
      <c r="E70" s="12" t="s">
        <v>198</v>
      </c>
      <c r="F70" s="12" t="s">
        <v>371</v>
      </c>
      <c r="G70" s="12" t="s">
        <v>200</v>
      </c>
      <c r="H70" s="12" t="s">
        <v>359</v>
      </c>
      <c r="I70" s="12" t="s">
        <v>396</v>
      </c>
    </row>
    <row r="71" spans="1:9" ht="41.25" thickBot="1" x14ac:dyDescent="0.25">
      <c r="A71" s="34"/>
      <c r="B71" s="13" t="s">
        <v>397</v>
      </c>
      <c r="C71" s="12" t="s">
        <v>398</v>
      </c>
      <c r="D71" s="12">
        <v>2018</v>
      </c>
      <c r="E71" s="12" t="s">
        <v>198</v>
      </c>
      <c r="F71" s="12" t="s">
        <v>371</v>
      </c>
      <c r="G71" s="12" t="s">
        <v>200</v>
      </c>
      <c r="H71" s="12" t="s">
        <v>359</v>
      </c>
      <c r="I71" s="12" t="s">
        <v>399</v>
      </c>
    </row>
    <row r="72" spans="1:9" ht="41.25" thickBot="1" x14ac:dyDescent="0.25">
      <c r="A72" s="34"/>
      <c r="B72" s="13" t="s">
        <v>400</v>
      </c>
      <c r="C72" s="12" t="s">
        <v>401</v>
      </c>
      <c r="D72" s="12">
        <v>2015</v>
      </c>
      <c r="E72" s="12" t="s">
        <v>198</v>
      </c>
      <c r="F72" s="12" t="s">
        <v>371</v>
      </c>
      <c r="G72" s="12" t="s">
        <v>200</v>
      </c>
      <c r="H72" s="12" t="s">
        <v>359</v>
      </c>
      <c r="I72" s="12" t="s">
        <v>402</v>
      </c>
    </row>
    <row r="73" spans="1:9" ht="54.75" thickBot="1" x14ac:dyDescent="0.25">
      <c r="A73" s="35"/>
      <c r="B73" s="13" t="s">
        <v>403</v>
      </c>
      <c r="C73" s="12" t="s">
        <v>404</v>
      </c>
      <c r="D73" s="12">
        <v>2008</v>
      </c>
      <c r="E73" s="12" t="s">
        <v>405</v>
      </c>
      <c r="F73" s="12" t="s">
        <v>406</v>
      </c>
      <c r="G73" s="12" t="s">
        <v>200</v>
      </c>
      <c r="H73" s="12" t="s">
        <v>359</v>
      </c>
      <c r="I73" s="12" t="s">
        <v>407</v>
      </c>
    </row>
    <row r="74" spans="1:9" ht="41.25" thickBot="1" x14ac:dyDescent="0.25">
      <c r="A74" s="33" t="s">
        <v>408</v>
      </c>
      <c r="B74" s="13" t="s">
        <v>409</v>
      </c>
      <c r="C74" s="12" t="s">
        <v>410</v>
      </c>
      <c r="D74" s="12">
        <v>2021</v>
      </c>
      <c r="E74" s="12" t="s">
        <v>405</v>
      </c>
      <c r="F74" s="12" t="s">
        <v>406</v>
      </c>
      <c r="G74" s="12" t="s">
        <v>200</v>
      </c>
      <c r="H74" s="12" t="s">
        <v>411</v>
      </c>
      <c r="I74" s="12" t="s">
        <v>412</v>
      </c>
    </row>
    <row r="75" spans="1:9" ht="54.75" thickBot="1" x14ac:dyDescent="0.25">
      <c r="A75" s="34"/>
      <c r="B75" s="13" t="s">
        <v>413</v>
      </c>
      <c r="C75" s="12" t="s">
        <v>414</v>
      </c>
      <c r="D75" s="12">
        <v>2021</v>
      </c>
      <c r="E75" s="12" t="s">
        <v>210</v>
      </c>
      <c r="F75" s="12" t="s">
        <v>226</v>
      </c>
      <c r="G75" s="12" t="s">
        <v>200</v>
      </c>
      <c r="H75" s="12" t="s">
        <v>411</v>
      </c>
      <c r="I75" s="12" t="s">
        <v>415</v>
      </c>
    </row>
    <row r="76" spans="1:9" ht="43.5" thickBot="1" x14ac:dyDescent="0.25">
      <c r="A76" s="34"/>
      <c r="B76" s="13" t="s">
        <v>416</v>
      </c>
      <c r="C76" s="12" t="s">
        <v>417</v>
      </c>
      <c r="D76" s="12">
        <v>2021</v>
      </c>
      <c r="E76" s="12" t="s">
        <v>198</v>
      </c>
      <c r="F76" s="12" t="s">
        <v>418</v>
      </c>
      <c r="G76" s="12" t="s">
        <v>200</v>
      </c>
      <c r="H76" s="12" t="s">
        <v>411</v>
      </c>
      <c r="I76" s="12" t="s">
        <v>419</v>
      </c>
    </row>
    <row r="77" spans="1:9" x14ac:dyDescent="0.2">
      <c r="A77" s="34"/>
      <c r="B77" s="36" t="s">
        <v>420</v>
      </c>
      <c r="C77" s="15" t="s">
        <v>421</v>
      </c>
      <c r="D77" s="33">
        <v>2020</v>
      </c>
      <c r="E77" s="33" t="s">
        <v>405</v>
      </c>
      <c r="F77" s="33" t="s">
        <v>406</v>
      </c>
      <c r="G77" s="33" t="s">
        <v>200</v>
      </c>
      <c r="H77" s="33" t="s">
        <v>411</v>
      </c>
      <c r="I77" s="33" t="s">
        <v>423</v>
      </c>
    </row>
    <row r="78" spans="1:9" ht="162.75" thickBot="1" x14ac:dyDescent="0.25">
      <c r="A78" s="34"/>
      <c r="B78" s="37"/>
      <c r="C78" s="12" t="s">
        <v>422</v>
      </c>
      <c r="D78" s="35"/>
      <c r="E78" s="35"/>
      <c r="F78" s="35"/>
      <c r="G78" s="35"/>
      <c r="H78" s="35"/>
      <c r="I78" s="35"/>
    </row>
    <row r="79" spans="1:9" ht="54.75" thickBot="1" x14ac:dyDescent="0.25">
      <c r="A79" s="34"/>
      <c r="B79" s="13" t="s">
        <v>424</v>
      </c>
      <c r="C79" s="12" t="s">
        <v>425</v>
      </c>
      <c r="D79" s="12">
        <v>2020</v>
      </c>
      <c r="E79" s="12" t="s">
        <v>215</v>
      </c>
      <c r="F79" s="12" t="s">
        <v>426</v>
      </c>
      <c r="G79" s="12" t="s">
        <v>270</v>
      </c>
      <c r="H79" s="12" t="s">
        <v>411</v>
      </c>
      <c r="I79" s="12" t="s">
        <v>427</v>
      </c>
    </row>
    <row r="80" spans="1:9" ht="95.25" thickBot="1" x14ac:dyDescent="0.25">
      <c r="A80" s="34"/>
      <c r="B80" s="13" t="s">
        <v>428</v>
      </c>
      <c r="C80" s="12" t="s">
        <v>429</v>
      </c>
      <c r="D80" s="12">
        <v>2020</v>
      </c>
      <c r="E80" s="12" t="s">
        <v>430</v>
      </c>
      <c r="F80" s="12" t="s">
        <v>431</v>
      </c>
      <c r="G80" s="12" t="s">
        <v>270</v>
      </c>
      <c r="H80" s="12" t="s">
        <v>411</v>
      </c>
      <c r="I80" s="12" t="s">
        <v>432</v>
      </c>
    </row>
    <row r="81" spans="1:9" ht="41.25" thickBot="1" x14ac:dyDescent="0.25">
      <c r="A81" s="34"/>
      <c r="B81" s="13" t="s">
        <v>433</v>
      </c>
      <c r="C81" s="12" t="s">
        <v>434</v>
      </c>
      <c r="D81" s="12">
        <v>2019</v>
      </c>
      <c r="E81" s="12" t="s">
        <v>430</v>
      </c>
      <c r="F81" s="12" t="s">
        <v>435</v>
      </c>
      <c r="G81" s="12" t="s">
        <v>270</v>
      </c>
      <c r="H81" s="12" t="s">
        <v>411</v>
      </c>
      <c r="I81" s="12" t="s">
        <v>436</v>
      </c>
    </row>
    <row r="82" spans="1:9" ht="41.25" thickBot="1" x14ac:dyDescent="0.25">
      <c r="A82" s="34"/>
      <c r="B82" s="13" t="s">
        <v>437</v>
      </c>
      <c r="C82" s="12" t="s">
        <v>438</v>
      </c>
      <c r="D82" s="12">
        <v>2018</v>
      </c>
      <c r="E82" s="12" t="s">
        <v>430</v>
      </c>
      <c r="F82" s="12" t="s">
        <v>439</v>
      </c>
      <c r="G82" s="12" t="s">
        <v>270</v>
      </c>
      <c r="H82" s="12" t="s">
        <v>411</v>
      </c>
      <c r="I82" s="12" t="s">
        <v>440</v>
      </c>
    </row>
    <row r="83" spans="1:9" ht="54" x14ac:dyDescent="0.2">
      <c r="A83" s="34"/>
      <c r="B83" s="36" t="s">
        <v>441</v>
      </c>
      <c r="C83" s="15" t="s">
        <v>442</v>
      </c>
      <c r="D83" s="33">
        <v>2020</v>
      </c>
      <c r="E83" s="33" t="s">
        <v>444</v>
      </c>
      <c r="F83" s="33" t="s">
        <v>445</v>
      </c>
      <c r="G83" s="33" t="s">
        <v>446</v>
      </c>
      <c r="H83" s="33" t="s">
        <v>411</v>
      </c>
      <c r="I83" s="33" t="s">
        <v>447</v>
      </c>
    </row>
    <row r="84" spans="1:9" x14ac:dyDescent="0.2">
      <c r="A84" s="34"/>
      <c r="B84" s="38"/>
      <c r="C84" s="16"/>
      <c r="D84" s="34"/>
      <c r="E84" s="34"/>
      <c r="F84" s="34"/>
      <c r="G84" s="34"/>
      <c r="H84" s="34"/>
      <c r="I84" s="34"/>
    </row>
    <row r="85" spans="1:9" ht="68.25" thickBot="1" x14ac:dyDescent="0.25">
      <c r="A85" s="34"/>
      <c r="B85" s="37"/>
      <c r="C85" s="12" t="s">
        <v>443</v>
      </c>
      <c r="D85" s="35"/>
      <c r="E85" s="35"/>
      <c r="F85" s="35"/>
      <c r="G85" s="35"/>
      <c r="H85" s="35"/>
      <c r="I85" s="35"/>
    </row>
    <row r="86" spans="1:9" ht="54.75" thickBot="1" x14ac:dyDescent="0.25">
      <c r="A86" s="35"/>
      <c r="B86" s="13" t="s">
        <v>448</v>
      </c>
      <c r="C86" s="12" t="s">
        <v>449</v>
      </c>
      <c r="D86" s="12">
        <v>2016</v>
      </c>
      <c r="E86" s="12" t="s">
        <v>198</v>
      </c>
      <c r="F86" s="12" t="s">
        <v>287</v>
      </c>
      <c r="G86" s="12" t="s">
        <v>200</v>
      </c>
      <c r="H86" s="12" t="s">
        <v>411</v>
      </c>
      <c r="I86" s="12" t="s">
        <v>450</v>
      </c>
    </row>
    <row r="87" spans="1:9" ht="68.25" thickBot="1" x14ac:dyDescent="0.25">
      <c r="A87" s="33" t="s">
        <v>451</v>
      </c>
      <c r="B87" s="13" t="s">
        <v>452</v>
      </c>
      <c r="C87" s="12" t="s">
        <v>453</v>
      </c>
      <c r="D87" s="12">
        <v>2021</v>
      </c>
      <c r="E87" s="12" t="s">
        <v>454</v>
      </c>
      <c r="F87" s="12" t="s">
        <v>455</v>
      </c>
      <c r="G87" s="12" t="s">
        <v>200</v>
      </c>
      <c r="H87" s="12" t="s">
        <v>411</v>
      </c>
      <c r="I87" s="12" t="s">
        <v>456</v>
      </c>
    </row>
    <row r="88" spans="1:9" ht="41.25" thickBot="1" x14ac:dyDescent="0.25">
      <c r="A88" s="34"/>
      <c r="B88" s="13" t="s">
        <v>457</v>
      </c>
      <c r="C88" s="12" t="s">
        <v>458</v>
      </c>
      <c r="D88" s="12">
        <v>2021</v>
      </c>
      <c r="E88" s="12" t="s">
        <v>198</v>
      </c>
      <c r="F88" s="12" t="s">
        <v>240</v>
      </c>
      <c r="G88" s="12" t="s">
        <v>200</v>
      </c>
      <c r="H88" s="12" t="s">
        <v>206</v>
      </c>
      <c r="I88" s="12" t="s">
        <v>459</v>
      </c>
    </row>
    <row r="89" spans="1:9" ht="41.25" thickBot="1" x14ac:dyDescent="0.25">
      <c r="A89" s="34"/>
      <c r="B89" s="13" t="s">
        <v>460</v>
      </c>
      <c r="C89" s="12" t="s">
        <v>461</v>
      </c>
      <c r="D89" s="12">
        <v>2021</v>
      </c>
      <c r="E89" s="12" t="s">
        <v>405</v>
      </c>
      <c r="F89" s="12" t="s">
        <v>406</v>
      </c>
      <c r="G89" s="12" t="s">
        <v>200</v>
      </c>
      <c r="H89" s="12" t="s">
        <v>206</v>
      </c>
      <c r="I89" s="12" t="s">
        <v>462</v>
      </c>
    </row>
    <row r="90" spans="1:9" ht="43.5" thickBot="1" x14ac:dyDescent="0.25">
      <c r="A90" s="34"/>
      <c r="B90" s="13" t="s">
        <v>463</v>
      </c>
      <c r="C90" s="12" t="s">
        <v>464</v>
      </c>
      <c r="D90" s="12">
        <v>2021</v>
      </c>
      <c r="E90" s="12" t="s">
        <v>430</v>
      </c>
      <c r="F90" s="12" t="s">
        <v>465</v>
      </c>
      <c r="G90" s="12" t="s">
        <v>200</v>
      </c>
      <c r="H90" s="12" t="s">
        <v>411</v>
      </c>
      <c r="I90" s="12" t="s">
        <v>466</v>
      </c>
    </row>
    <row r="91" spans="1:9" ht="41.25" thickBot="1" x14ac:dyDescent="0.25">
      <c r="A91" s="34"/>
      <c r="B91" s="13" t="s">
        <v>467</v>
      </c>
      <c r="C91" s="12" t="s">
        <v>468</v>
      </c>
      <c r="D91" s="12">
        <v>2021</v>
      </c>
      <c r="E91" s="12" t="s">
        <v>215</v>
      </c>
      <c r="F91" s="12" t="s">
        <v>469</v>
      </c>
      <c r="G91" s="12" t="s">
        <v>217</v>
      </c>
      <c r="H91" s="12" t="s">
        <v>275</v>
      </c>
      <c r="I91" s="12" t="s">
        <v>470</v>
      </c>
    </row>
    <row r="92" spans="1:9" ht="29.25" thickBot="1" x14ac:dyDescent="0.25">
      <c r="A92" s="35"/>
      <c r="B92" s="13" t="s">
        <v>471</v>
      </c>
      <c r="C92" s="12" t="s">
        <v>472</v>
      </c>
      <c r="D92" s="12">
        <v>2018</v>
      </c>
      <c r="E92" s="12" t="s">
        <v>198</v>
      </c>
      <c r="F92" s="12" t="s">
        <v>222</v>
      </c>
      <c r="G92" s="12" t="s">
        <v>205</v>
      </c>
      <c r="H92" s="12" t="s">
        <v>206</v>
      </c>
      <c r="I92" s="12" t="s">
        <v>473</v>
      </c>
    </row>
    <row r="93" spans="1:9" ht="54.75" thickBot="1" x14ac:dyDescent="0.25">
      <c r="A93" s="33" t="s">
        <v>474</v>
      </c>
      <c r="B93" s="13" t="s">
        <v>475</v>
      </c>
      <c r="C93" s="12" t="s">
        <v>476</v>
      </c>
      <c r="D93" s="12">
        <v>2021</v>
      </c>
      <c r="E93" s="12" t="s">
        <v>210</v>
      </c>
      <c r="F93" s="12" t="s">
        <v>226</v>
      </c>
      <c r="G93" s="12" t="s">
        <v>477</v>
      </c>
      <c r="H93" s="12" t="s">
        <v>201</v>
      </c>
      <c r="I93" s="12" t="s">
        <v>478</v>
      </c>
    </row>
    <row r="94" spans="1:9" ht="95.25" thickBot="1" x14ac:dyDescent="0.25">
      <c r="A94" s="34"/>
      <c r="B94" s="13" t="s">
        <v>479</v>
      </c>
      <c r="C94" s="12" t="s">
        <v>480</v>
      </c>
      <c r="D94" s="12">
        <v>2019</v>
      </c>
      <c r="E94" s="12" t="s">
        <v>454</v>
      </c>
      <c r="F94" s="12" t="s">
        <v>481</v>
      </c>
      <c r="G94" s="12" t="s">
        <v>477</v>
      </c>
      <c r="H94" s="12" t="s">
        <v>201</v>
      </c>
      <c r="I94" s="12" t="s">
        <v>482</v>
      </c>
    </row>
    <row r="95" spans="1:9" ht="54.75" thickBot="1" x14ac:dyDescent="0.25">
      <c r="A95" s="34"/>
      <c r="B95" s="13" t="s">
        <v>483</v>
      </c>
      <c r="C95" s="12" t="s">
        <v>484</v>
      </c>
      <c r="D95" s="12">
        <v>2021</v>
      </c>
      <c r="E95" s="12" t="s">
        <v>430</v>
      </c>
      <c r="F95" s="12" t="s">
        <v>485</v>
      </c>
      <c r="G95" s="12" t="s">
        <v>477</v>
      </c>
      <c r="H95" s="12" t="s">
        <v>275</v>
      </c>
      <c r="I95" s="12" t="s">
        <v>486</v>
      </c>
    </row>
    <row r="96" spans="1:9" ht="68.25" thickBot="1" x14ac:dyDescent="0.25">
      <c r="A96" s="35"/>
      <c r="B96" s="13" t="s">
        <v>487</v>
      </c>
      <c r="C96" s="12" t="s">
        <v>488</v>
      </c>
      <c r="D96" s="12">
        <v>2020</v>
      </c>
      <c r="E96" s="12" t="s">
        <v>444</v>
      </c>
      <c r="F96" s="12" t="s">
        <v>489</v>
      </c>
      <c r="G96" s="12" t="s">
        <v>477</v>
      </c>
      <c r="H96" s="12" t="s">
        <v>411</v>
      </c>
      <c r="I96" s="12" t="s">
        <v>490</v>
      </c>
    </row>
    <row r="97" spans="1:9" ht="81" x14ac:dyDescent="0.2">
      <c r="A97" s="33" t="s">
        <v>491</v>
      </c>
      <c r="B97" s="36" t="s">
        <v>492</v>
      </c>
      <c r="C97" s="15" t="s">
        <v>493</v>
      </c>
      <c r="D97" s="33">
        <v>2021</v>
      </c>
      <c r="E97" s="33" t="s">
        <v>198</v>
      </c>
      <c r="F97" s="33" t="s">
        <v>287</v>
      </c>
      <c r="G97" s="33" t="s">
        <v>446</v>
      </c>
      <c r="H97" s="33" t="s">
        <v>201</v>
      </c>
      <c r="I97" s="33" t="s">
        <v>495</v>
      </c>
    </row>
    <row r="98" spans="1:9" x14ac:dyDescent="0.2">
      <c r="A98" s="34"/>
      <c r="B98" s="38"/>
      <c r="C98" s="16"/>
      <c r="D98" s="34"/>
      <c r="E98" s="34"/>
      <c r="F98" s="34"/>
      <c r="G98" s="34"/>
      <c r="H98" s="34"/>
      <c r="I98" s="34"/>
    </row>
    <row r="99" spans="1:9" ht="68.25" thickBot="1" x14ac:dyDescent="0.25">
      <c r="A99" s="35"/>
      <c r="B99" s="37"/>
      <c r="C99" s="12" t="s">
        <v>494</v>
      </c>
      <c r="D99" s="35"/>
      <c r="E99" s="35"/>
      <c r="F99" s="35"/>
      <c r="G99" s="35"/>
      <c r="H99" s="35"/>
      <c r="I99" s="35"/>
    </row>
    <row r="100" spans="1:9" ht="41.25" thickBot="1" x14ac:dyDescent="0.25">
      <c r="A100" s="33" t="s">
        <v>496</v>
      </c>
      <c r="B100" s="13" t="s">
        <v>497</v>
      </c>
      <c r="C100" s="12" t="s">
        <v>498</v>
      </c>
      <c r="D100" s="12">
        <v>2020</v>
      </c>
      <c r="E100" s="12" t="s">
        <v>210</v>
      </c>
      <c r="F100" s="12" t="s">
        <v>499</v>
      </c>
      <c r="G100" s="12" t="s">
        <v>200</v>
      </c>
      <c r="H100" s="12" t="s">
        <v>500</v>
      </c>
      <c r="I100" s="12" t="s">
        <v>501</v>
      </c>
    </row>
    <row r="101" spans="1:9" ht="54.75" thickBot="1" x14ac:dyDescent="0.25">
      <c r="A101" s="34"/>
      <c r="B101" s="13" t="s">
        <v>502</v>
      </c>
      <c r="C101" s="12" t="s">
        <v>503</v>
      </c>
      <c r="D101" s="12">
        <v>2021</v>
      </c>
      <c r="E101" s="12" t="s">
        <v>198</v>
      </c>
      <c r="F101" s="12" t="s">
        <v>240</v>
      </c>
      <c r="G101" s="12" t="s">
        <v>477</v>
      </c>
      <c r="H101" s="12" t="s">
        <v>275</v>
      </c>
      <c r="I101" s="12" t="s">
        <v>504</v>
      </c>
    </row>
    <row r="102" spans="1:9" ht="41.25" thickBot="1" x14ac:dyDescent="0.25">
      <c r="A102" s="34"/>
      <c r="B102" s="13" t="s">
        <v>505</v>
      </c>
      <c r="C102" s="12" t="s">
        <v>506</v>
      </c>
      <c r="D102" s="12">
        <v>2019</v>
      </c>
      <c r="E102" s="12" t="s">
        <v>198</v>
      </c>
      <c r="F102" s="12" t="s">
        <v>507</v>
      </c>
      <c r="G102" s="12" t="s">
        <v>200</v>
      </c>
      <c r="H102" s="12" t="s">
        <v>500</v>
      </c>
      <c r="I102" s="12" t="s">
        <v>508</v>
      </c>
    </row>
    <row r="103" spans="1:9" ht="41.25" thickBot="1" x14ac:dyDescent="0.25">
      <c r="A103" s="34"/>
      <c r="B103" s="13" t="s">
        <v>509</v>
      </c>
      <c r="C103" s="12" t="s">
        <v>510</v>
      </c>
      <c r="D103" s="12">
        <v>2018</v>
      </c>
      <c r="E103" s="12" t="s">
        <v>198</v>
      </c>
      <c r="F103" s="12" t="s">
        <v>507</v>
      </c>
      <c r="G103" s="12" t="s">
        <v>200</v>
      </c>
      <c r="H103" s="12" t="s">
        <v>500</v>
      </c>
      <c r="I103" s="12" t="s">
        <v>511</v>
      </c>
    </row>
    <row r="104" spans="1:9" ht="41.25" thickBot="1" x14ac:dyDescent="0.25">
      <c r="A104" s="35"/>
      <c r="B104" s="13" t="s">
        <v>512</v>
      </c>
      <c r="C104" s="12" t="s">
        <v>513</v>
      </c>
      <c r="D104" s="12">
        <v>2016</v>
      </c>
      <c r="E104" s="12" t="s">
        <v>198</v>
      </c>
      <c r="F104" s="12" t="s">
        <v>507</v>
      </c>
      <c r="G104" s="12" t="s">
        <v>200</v>
      </c>
      <c r="H104" s="12" t="s">
        <v>500</v>
      </c>
      <c r="I104" s="12" t="s">
        <v>514</v>
      </c>
    </row>
    <row r="105" spans="1:9" ht="41.25" thickBot="1" x14ac:dyDescent="0.25">
      <c r="A105" s="33" t="s">
        <v>515</v>
      </c>
      <c r="B105" s="13" t="s">
        <v>516</v>
      </c>
      <c r="C105" s="12" t="s">
        <v>517</v>
      </c>
      <c r="D105" s="12">
        <v>2021</v>
      </c>
      <c r="E105" s="12" t="s">
        <v>405</v>
      </c>
      <c r="F105" s="12" t="s">
        <v>406</v>
      </c>
      <c r="G105" s="12" t="s">
        <v>200</v>
      </c>
      <c r="H105" s="12" t="s">
        <v>206</v>
      </c>
      <c r="I105" s="12" t="s">
        <v>462</v>
      </c>
    </row>
    <row r="106" spans="1:9" ht="41.25" thickBot="1" x14ac:dyDescent="0.25">
      <c r="A106" s="34"/>
      <c r="B106" s="13" t="s">
        <v>518</v>
      </c>
      <c r="C106" s="12" t="s">
        <v>519</v>
      </c>
      <c r="D106" s="12">
        <v>2021</v>
      </c>
      <c r="E106" s="12" t="s">
        <v>405</v>
      </c>
      <c r="F106" s="12" t="s">
        <v>406</v>
      </c>
      <c r="G106" s="12" t="s">
        <v>200</v>
      </c>
      <c r="H106" s="12" t="s">
        <v>206</v>
      </c>
      <c r="I106" s="12" t="s">
        <v>462</v>
      </c>
    </row>
    <row r="107" spans="1:9" x14ac:dyDescent="0.2">
      <c r="A107" s="34"/>
      <c r="B107" s="14" t="s">
        <v>520</v>
      </c>
      <c r="C107" s="33" t="s">
        <v>522</v>
      </c>
      <c r="D107" s="33">
        <v>2021</v>
      </c>
      <c r="E107" s="33" t="s">
        <v>405</v>
      </c>
      <c r="F107" s="33" t="s">
        <v>406</v>
      </c>
      <c r="G107" s="33" t="s">
        <v>200</v>
      </c>
      <c r="H107" s="33" t="s">
        <v>206</v>
      </c>
      <c r="I107" s="33" t="s">
        <v>523</v>
      </c>
    </row>
    <row r="108" spans="1:9" ht="15" thickBot="1" x14ac:dyDescent="0.25">
      <c r="A108" s="34"/>
      <c r="B108" s="13" t="s">
        <v>521</v>
      </c>
      <c r="C108" s="35"/>
      <c r="D108" s="35"/>
      <c r="E108" s="35"/>
      <c r="F108" s="35"/>
      <c r="G108" s="35"/>
      <c r="H108" s="35"/>
      <c r="I108" s="35"/>
    </row>
    <row r="109" spans="1:9" ht="54.75" thickBot="1" x14ac:dyDescent="0.25">
      <c r="A109" s="34"/>
      <c r="B109" s="13" t="s">
        <v>524</v>
      </c>
      <c r="C109" s="12" t="s">
        <v>525</v>
      </c>
      <c r="D109" s="12">
        <v>2021</v>
      </c>
      <c r="E109" s="12" t="s">
        <v>405</v>
      </c>
      <c r="F109" s="12" t="s">
        <v>406</v>
      </c>
      <c r="G109" s="12" t="s">
        <v>200</v>
      </c>
      <c r="H109" s="12" t="s">
        <v>206</v>
      </c>
      <c r="I109" s="12" t="s">
        <v>526</v>
      </c>
    </row>
    <row r="110" spans="1:9" ht="54.75" thickBot="1" x14ac:dyDescent="0.25">
      <c r="A110" s="34"/>
      <c r="B110" s="13" t="s">
        <v>527</v>
      </c>
      <c r="C110" s="12" t="s">
        <v>528</v>
      </c>
      <c r="D110" s="12" t="s">
        <v>529</v>
      </c>
      <c r="E110" s="12" t="s">
        <v>198</v>
      </c>
      <c r="F110" s="12" t="s">
        <v>222</v>
      </c>
      <c r="G110" s="12" t="s">
        <v>205</v>
      </c>
      <c r="H110" s="12" t="s">
        <v>206</v>
      </c>
      <c r="I110" s="12" t="s">
        <v>530</v>
      </c>
    </row>
    <row r="111" spans="1:9" ht="27" x14ac:dyDescent="0.2">
      <c r="A111" s="34"/>
      <c r="B111" s="36" t="s">
        <v>531</v>
      </c>
      <c r="C111" s="15" t="s">
        <v>532</v>
      </c>
      <c r="D111" s="33">
        <v>2016</v>
      </c>
      <c r="E111" s="33" t="s">
        <v>210</v>
      </c>
      <c r="F111" s="33" t="s">
        <v>226</v>
      </c>
      <c r="G111" s="33" t="s">
        <v>200</v>
      </c>
      <c r="H111" s="33" t="s">
        <v>206</v>
      </c>
      <c r="I111" s="33" t="s">
        <v>534</v>
      </c>
    </row>
    <row r="112" spans="1:9" x14ac:dyDescent="0.2">
      <c r="A112" s="34"/>
      <c r="B112" s="38"/>
      <c r="C112" s="16"/>
      <c r="D112" s="34"/>
      <c r="E112" s="34"/>
      <c r="F112" s="34"/>
      <c r="G112" s="34"/>
      <c r="H112" s="34"/>
      <c r="I112" s="34"/>
    </row>
    <row r="113" spans="1:9" ht="54.75" thickBot="1" x14ac:dyDescent="0.25">
      <c r="A113" s="34"/>
      <c r="B113" s="37"/>
      <c r="C113" s="12" t="s">
        <v>533</v>
      </c>
      <c r="D113" s="35"/>
      <c r="E113" s="35"/>
      <c r="F113" s="35"/>
      <c r="G113" s="35"/>
      <c r="H113" s="35"/>
      <c r="I113" s="35"/>
    </row>
    <row r="114" spans="1:9" ht="43.5" thickBot="1" x14ac:dyDescent="0.25">
      <c r="A114" s="34"/>
      <c r="B114" s="13" t="s">
        <v>535</v>
      </c>
      <c r="C114" s="12" t="s">
        <v>536</v>
      </c>
      <c r="D114" s="12">
        <v>2021</v>
      </c>
      <c r="E114" s="12" t="s">
        <v>198</v>
      </c>
      <c r="F114" s="12" t="s">
        <v>537</v>
      </c>
      <c r="G114" s="12" t="s">
        <v>200</v>
      </c>
      <c r="H114" s="12" t="s">
        <v>201</v>
      </c>
      <c r="I114" s="12" t="s">
        <v>538</v>
      </c>
    </row>
    <row r="115" spans="1:9" ht="54.75" thickBot="1" x14ac:dyDescent="0.25">
      <c r="A115" s="34"/>
      <c r="B115" s="13" t="s">
        <v>539</v>
      </c>
      <c r="C115" s="12" t="s">
        <v>540</v>
      </c>
      <c r="D115" s="12">
        <v>2016</v>
      </c>
      <c r="E115" s="12" t="s">
        <v>210</v>
      </c>
      <c r="F115" s="12" t="s">
        <v>226</v>
      </c>
      <c r="G115" s="12" t="s">
        <v>200</v>
      </c>
      <c r="H115" s="12" t="s">
        <v>275</v>
      </c>
      <c r="I115" s="12" t="s">
        <v>541</v>
      </c>
    </row>
    <row r="116" spans="1:9" ht="54.75" thickBot="1" x14ac:dyDescent="0.25">
      <c r="A116" s="35"/>
      <c r="B116" s="13" t="s">
        <v>542</v>
      </c>
      <c r="C116" s="12" t="s">
        <v>543</v>
      </c>
      <c r="D116" s="12">
        <v>2018</v>
      </c>
      <c r="E116" s="12" t="s">
        <v>198</v>
      </c>
      <c r="F116" s="12" t="s">
        <v>222</v>
      </c>
      <c r="G116" s="12" t="s">
        <v>205</v>
      </c>
      <c r="H116" s="12" t="s">
        <v>206</v>
      </c>
      <c r="I116" s="12" t="s">
        <v>544</v>
      </c>
    </row>
    <row r="117" spans="1:9" ht="41.25" thickBot="1" x14ac:dyDescent="0.25">
      <c r="A117" s="33" t="s">
        <v>545</v>
      </c>
      <c r="B117" s="13" t="s">
        <v>546</v>
      </c>
      <c r="C117" s="12" t="s">
        <v>547</v>
      </c>
      <c r="D117" s="12">
        <v>2021</v>
      </c>
      <c r="E117" s="12" t="s">
        <v>198</v>
      </c>
      <c r="F117" s="12" t="s">
        <v>548</v>
      </c>
      <c r="G117" s="12" t="s">
        <v>200</v>
      </c>
      <c r="H117" s="12" t="s">
        <v>206</v>
      </c>
      <c r="I117" s="12" t="s">
        <v>549</v>
      </c>
    </row>
    <row r="118" spans="1:9" ht="95.25" thickBot="1" x14ac:dyDescent="0.25">
      <c r="A118" s="34"/>
      <c r="B118" s="13" t="s">
        <v>550</v>
      </c>
      <c r="C118" s="12" t="s">
        <v>551</v>
      </c>
      <c r="D118" s="12">
        <v>2021</v>
      </c>
      <c r="E118" s="12" t="s">
        <v>444</v>
      </c>
      <c r="F118" s="12" t="s">
        <v>552</v>
      </c>
      <c r="G118" s="12" t="s">
        <v>270</v>
      </c>
      <c r="H118" s="12" t="s">
        <v>201</v>
      </c>
      <c r="I118" s="12" t="s">
        <v>553</v>
      </c>
    </row>
    <row r="119" spans="1:9" x14ac:dyDescent="0.2">
      <c r="A119" s="34"/>
      <c r="B119" s="36" t="s">
        <v>554</v>
      </c>
      <c r="C119" s="16"/>
      <c r="D119" s="33">
        <v>2021</v>
      </c>
      <c r="E119" s="33" t="s">
        <v>215</v>
      </c>
      <c r="F119" s="33" t="s">
        <v>556</v>
      </c>
      <c r="G119" s="33" t="s">
        <v>318</v>
      </c>
      <c r="H119" s="33" t="s">
        <v>206</v>
      </c>
      <c r="I119" s="33" t="s">
        <v>557</v>
      </c>
    </row>
    <row r="120" spans="1:9" ht="15" thickBot="1" x14ac:dyDescent="0.25">
      <c r="A120" s="34"/>
      <c r="B120" s="37"/>
      <c r="C120" s="12" t="s">
        <v>555</v>
      </c>
      <c r="D120" s="35"/>
      <c r="E120" s="35"/>
      <c r="F120" s="35"/>
      <c r="G120" s="35"/>
      <c r="H120" s="35"/>
      <c r="I120" s="35"/>
    </row>
    <row r="121" spans="1:9" ht="41.25" thickBot="1" x14ac:dyDescent="0.25">
      <c r="A121" s="34"/>
      <c r="B121" s="13" t="s">
        <v>558</v>
      </c>
      <c r="C121" s="12" t="s">
        <v>559</v>
      </c>
      <c r="D121" s="12">
        <v>2020</v>
      </c>
      <c r="E121" s="12" t="s">
        <v>198</v>
      </c>
      <c r="F121" s="12" t="s">
        <v>548</v>
      </c>
      <c r="G121" s="12" t="s">
        <v>318</v>
      </c>
      <c r="H121" s="12" t="s">
        <v>206</v>
      </c>
      <c r="I121" s="12" t="s">
        <v>548</v>
      </c>
    </row>
    <row r="122" spans="1:9" ht="54.75" thickBot="1" x14ac:dyDescent="0.25">
      <c r="A122" s="34"/>
      <c r="B122" s="13" t="s">
        <v>560</v>
      </c>
      <c r="C122" s="12" t="s">
        <v>561</v>
      </c>
      <c r="D122" s="12">
        <v>2018</v>
      </c>
      <c r="E122" s="12" t="s">
        <v>210</v>
      </c>
      <c r="F122" s="12" t="s">
        <v>562</v>
      </c>
      <c r="G122" s="12" t="s">
        <v>200</v>
      </c>
      <c r="H122" s="12" t="s">
        <v>206</v>
      </c>
      <c r="I122" s="12" t="s">
        <v>563</v>
      </c>
    </row>
    <row r="123" spans="1:9" ht="41.25" thickBot="1" x14ac:dyDescent="0.25">
      <c r="A123" s="35"/>
      <c r="B123" s="13" t="s">
        <v>564</v>
      </c>
      <c r="C123" s="12" t="s">
        <v>565</v>
      </c>
      <c r="D123" s="12">
        <v>2019</v>
      </c>
      <c r="E123" s="12" t="s">
        <v>210</v>
      </c>
      <c r="F123" s="12" t="s">
        <v>566</v>
      </c>
      <c r="G123" s="12" t="s">
        <v>200</v>
      </c>
      <c r="H123" s="12" t="s">
        <v>275</v>
      </c>
      <c r="I123" s="12" t="s">
        <v>567</v>
      </c>
    </row>
    <row r="124" spans="1:9" ht="16.5" thickBot="1" x14ac:dyDescent="0.25">
      <c r="A124" s="17"/>
      <c r="B124" s="18"/>
      <c r="C124" s="18"/>
      <c r="D124" s="18"/>
      <c r="E124" s="18"/>
      <c r="F124" s="18"/>
      <c r="G124" s="18"/>
      <c r="H124" s="18"/>
      <c r="I124" s="18"/>
    </row>
    <row r="125" spans="1:9" ht="15" thickBot="1" x14ac:dyDescent="0.25">
      <c r="A125" s="11" t="s">
        <v>568</v>
      </c>
      <c r="B125" s="30" t="s">
        <v>569</v>
      </c>
      <c r="C125" s="31"/>
      <c r="D125" s="31"/>
      <c r="E125" s="31"/>
      <c r="F125" s="31"/>
      <c r="G125" s="31"/>
      <c r="H125" s="31"/>
      <c r="I125" s="32"/>
    </row>
  </sheetData>
  <mergeCells count="103">
    <mergeCell ref="D22:D24"/>
    <mergeCell ref="E22:E24"/>
    <mergeCell ref="F22:F24"/>
    <mergeCell ref="G22:G24"/>
    <mergeCell ref="H22:H24"/>
    <mergeCell ref="I22:I24"/>
    <mergeCell ref="A1:I1"/>
    <mergeCell ref="A3:A25"/>
    <mergeCell ref="B7:B9"/>
    <mergeCell ref="D7:D9"/>
    <mergeCell ref="E7:E9"/>
    <mergeCell ref="F7:F9"/>
    <mergeCell ref="G7:G9"/>
    <mergeCell ref="H7:H9"/>
    <mergeCell ref="I7:I9"/>
    <mergeCell ref="B22:B24"/>
    <mergeCell ref="A26:A58"/>
    <mergeCell ref="C31:C32"/>
    <mergeCell ref="D31:D32"/>
    <mergeCell ref="E31:E32"/>
    <mergeCell ref="F31:F32"/>
    <mergeCell ref="G31:G32"/>
    <mergeCell ref="B41:B51"/>
    <mergeCell ref="D41:D51"/>
    <mergeCell ref="E41:E51"/>
    <mergeCell ref="F41:F51"/>
    <mergeCell ref="G41:G51"/>
    <mergeCell ref="H31:H32"/>
    <mergeCell ref="I31:I32"/>
    <mergeCell ref="B39:B40"/>
    <mergeCell ref="D39:D40"/>
    <mergeCell ref="E39:E40"/>
    <mergeCell ref="F39:F40"/>
    <mergeCell ref="G39:G40"/>
    <mergeCell ref="H39:H40"/>
    <mergeCell ref="I39:I40"/>
    <mergeCell ref="H41:H51"/>
    <mergeCell ref="I41:I51"/>
    <mergeCell ref="B54:B56"/>
    <mergeCell ref="D54:D56"/>
    <mergeCell ref="E54:E56"/>
    <mergeCell ref="F54:F56"/>
    <mergeCell ref="G54:G56"/>
    <mergeCell ref="H54:H56"/>
    <mergeCell ref="I54:I56"/>
    <mergeCell ref="H59:H60"/>
    <mergeCell ref="I59:I60"/>
    <mergeCell ref="A74:A86"/>
    <mergeCell ref="B77:B78"/>
    <mergeCell ref="D77:D78"/>
    <mergeCell ref="E77:E78"/>
    <mergeCell ref="F77:F78"/>
    <mergeCell ref="G77:G78"/>
    <mergeCell ref="H77:H78"/>
    <mergeCell ref="I77:I78"/>
    <mergeCell ref="A59:A73"/>
    <mergeCell ref="B59:B60"/>
    <mergeCell ref="D59:D60"/>
    <mergeCell ref="E59:E60"/>
    <mergeCell ref="F59:F60"/>
    <mergeCell ref="G59:G60"/>
    <mergeCell ref="I83:I85"/>
    <mergeCell ref="B83:B85"/>
    <mergeCell ref="D83:D85"/>
    <mergeCell ref="E83:E85"/>
    <mergeCell ref="F83:F85"/>
    <mergeCell ref="G83:G85"/>
    <mergeCell ref="H83:H85"/>
    <mergeCell ref="A87:A92"/>
    <mergeCell ref="A93:A96"/>
    <mergeCell ref="A97:A99"/>
    <mergeCell ref="B97:B99"/>
    <mergeCell ref="D97:D99"/>
    <mergeCell ref="E97:E99"/>
    <mergeCell ref="F97:F99"/>
    <mergeCell ref="G97:G99"/>
    <mergeCell ref="H97:H99"/>
    <mergeCell ref="I97:I99"/>
    <mergeCell ref="A100:A104"/>
    <mergeCell ref="A105:A116"/>
    <mergeCell ref="C107:C108"/>
    <mergeCell ref="D107:D108"/>
    <mergeCell ref="E107:E108"/>
    <mergeCell ref="F107:F108"/>
    <mergeCell ref="G107:G108"/>
    <mergeCell ref="H107:H108"/>
    <mergeCell ref="I107:I108"/>
    <mergeCell ref="B125:I125"/>
    <mergeCell ref="I111:I113"/>
    <mergeCell ref="A117:A123"/>
    <mergeCell ref="B119:B120"/>
    <mergeCell ref="D119:D120"/>
    <mergeCell ref="E119:E120"/>
    <mergeCell ref="F119:F120"/>
    <mergeCell ref="G119:G120"/>
    <mergeCell ref="H119:H120"/>
    <mergeCell ref="I119:I120"/>
    <mergeCell ref="B111:B113"/>
    <mergeCell ref="D111:D113"/>
    <mergeCell ref="E111:E113"/>
    <mergeCell ref="F111:F113"/>
    <mergeCell ref="G111:G113"/>
    <mergeCell ref="H111:H113"/>
  </mergeCells>
  <phoneticPr fontId="1" type="noConversion"/>
  <hyperlinks>
    <hyperlink ref="B3" r:id="rId1" display="http://www.gov.cn/zhengce/zhengceku/2021-05/27/content_5612874.htm" xr:uid="{718A5445-A308-4268-934C-ACF353E4AB57}"/>
    <hyperlink ref="B4" r:id="rId2" display="http://www.nea.gov.cn/2020-04/10/c_138963212.htm" xr:uid="{2390D992-8303-495A-94E7-69DFB9FFED88}"/>
    <hyperlink ref="B5" r:id="rId3" display="https://www.ndrc.gov.cn/xwdt/tzgg/202108/t20210810_1293397.html?code=&amp;state=123" xr:uid="{FF0D984A-EE3D-4D90-8979-E2805CBE6F25}"/>
    <hyperlink ref="B6" r:id="rId4" display="http://www.gov.cn/xinwen/2017-02/03/content_5164836.htm" xr:uid="{D88AF4F1-AFBA-4F62-AA01-516C4C73B47D}"/>
    <hyperlink ref="B7" r:id="rId5" display="http://www.gov.cn/ziliao/flfg/2005-06/21/content_8275.htm" xr:uid="{FCF8E7EE-AFD3-4574-BC00-B741DCEC6EB3}"/>
    <hyperlink ref="B10" r:id="rId6" display="https://www.ndrc.gov.cn/xxgk/zcfb/tz/201905/t20190515_962446.html" xr:uid="{F7343FD7-63B9-4B87-9105-C49304CE3F7F}"/>
    <hyperlink ref="B11" r:id="rId7" display="https://www.ndrc.gov.cn/xxgk/zcfb/tz/201901/t20190109_962365.html" xr:uid="{B6863EE4-9F89-44B8-A9EB-DF5B782CAC78}"/>
    <hyperlink ref="B12" r:id="rId8" display="http://www.gov.cn/xinwen/2019-07/22/content_5412451.htm" xr:uid="{4B614689-C7BD-484A-8B2A-DEBEE5BA57EB}"/>
    <hyperlink ref="B13" r:id="rId9" display="http://zfxxgk.nea.gov.cn/auto87/201803/t20180323_3131.htm" xr:uid="{FFEC264D-962E-41F7-AFFE-8774BCDB7826}"/>
    <hyperlink ref="B14" r:id="rId10" display="http://www.gov.cn/xinwen/2019-10/25/content_5444655.htm" xr:uid="{8FB7058F-2689-487A-87B3-8C0802E15BA1}"/>
    <hyperlink ref="B15" r:id="rId11" display="https://www.ndrc.gov.cn/xxgk/zcfb/ghxwj/201908/t20190807_960970.html" xr:uid="{298AC920-A84A-4FC2-AB33-87C680078A49}"/>
    <hyperlink ref="B16" r:id="rId12" display="http://www.gov.cn/zhengce/zhengceku/2020-10/21/content_5552978.htm" xr:uid="{2DE3058C-90F1-40DC-B425-41B82AB4FBD5}"/>
    <hyperlink ref="B17" r:id="rId13" display="https://www.ndrc.gov.cn/xxgk/zcfb/ghxwj/202007/t20200701_1232843.html" xr:uid="{07F4D514-6FAC-49B4-83E9-9FE86D26A798}"/>
    <hyperlink ref="B18" r:id="rId14" display="https://www.ndrc.gov.cn/xxgk/zcfb/tz/202107/t20210705_1285399.html?code=&amp;state=123" xr:uid="{0225AA83-0A06-4F5E-8C93-06461841CE2F}"/>
    <hyperlink ref="B19" r:id="rId15" display="https://www.ndrc.gov.cn/xxgk/zcfb/ghxwj/202103/t20210305_1269046.html?code=&amp;state=123" xr:uid="{A98A868B-BA56-4E34-A083-10840EAC071A}"/>
    <hyperlink ref="B20" r:id="rId16" display="https://www.ndrc.gov.cn/xxgk/zcfb/tz/202106/t20210611_1283088.html?code=&amp;state=123" xr:uid="{4EE887D7-5CE2-447D-AF28-2CA5A4A51F78}"/>
    <hyperlink ref="B21" r:id="rId17" display="https://www.ndrc.gov.cn/xxgk/zcfb/tz/202105/t20210507_1279341.html?code=&amp;state=123" xr:uid="{B32229CE-392A-4BC8-BE5C-6ED26016FEF9}"/>
    <hyperlink ref="B22" r:id="rId18" display="https://www.ndrc.gov.cn/xxgk/zcfb/tz/202009/t20200916_1238868.html" xr:uid="{43F5584E-69F5-4186-8F51-CEAFB5277BBF}"/>
    <hyperlink ref="B25" r:id="rId19" display="https://policy.asiapacificenergy.org/sites/default/files/Interim Measures for the Administration of the Collection and Use of the Renewable Energy Development Fund %28CH%29.pdf" xr:uid="{277AB3E3-9F60-4ECD-91FE-FA10C740DA49}"/>
    <hyperlink ref="B26" r:id="rId20" display="https://www.ndrc.gov.cn/xxgk/zcfb/tz/202103/t20210323_1270129.html?code=&amp;state=123" xr:uid="{AD1FA2A9-545F-4A40-BEA5-08023FA4688A}"/>
    <hyperlink ref="B27" r:id="rId21" display="https://www.gov.cn/zhengce/zhengceku/2021-12/29/content_5665166.htm" xr:uid="{7E9A1471-5C9F-42D1-9F61-8F8A4D899F61}"/>
    <hyperlink ref="B28" r:id="rId22" display="https://www.gov.cn/zhengce/zhengceku/2021-12/03/content_5655701.htm" xr:uid="{0FB8D264-9430-4029-A3F2-7617FE56E5C2}"/>
    <hyperlink ref="B29" r:id="rId23" display="http://www.mee.gov.cn/xxgk2018/xxgk/xxgk03/202105/t20210531_835511.html" xr:uid="{8F3EF668-B121-4A26-B5EA-4874C968F347}"/>
    <hyperlink ref="B30" r:id="rId24" display="http://www.gov.cn/zhengce/zhengceku/2020-02/21/content_5481719.htm" xr:uid="{293FC9C7-ECF4-4F29-AD9A-A14E30BE1501}"/>
    <hyperlink ref="B31" r:id="rId25" display="https://www.ndrc.gov.cn/xxgk/zcfb/tz/202009/t20200925_1239582.html?code=&amp;state=123" xr:uid="{EFDB6F59-5F8D-45FB-AD77-E97E8B4715C4}"/>
    <hyperlink ref="B32" r:id="rId26" display="https://www.ndrc.gov.cn/xxgk/zcfb/tz/202009/t20200925_1239582.html?code=&amp;state=123" xr:uid="{35D6AAEC-8581-4BF1-8C69-D703B638A222}"/>
    <hyperlink ref="B33" r:id="rId27" display="http://www.gov.cn/zhengce/zhengceku/2021-01/17/content_5580512.htm" xr:uid="{6A061DCA-5C44-427B-B1C9-3CC86F130FBF}"/>
    <hyperlink ref="B34" r:id="rId28" display="https://www.miit.gov.cn/jgsj/jns/wjfb/art/2020/art_7169a812f9d2455d908c00fbf5c0149b.html" xr:uid="{B8D08E7C-C8CD-4142-BD9D-E825B52A486B}"/>
    <hyperlink ref="B35" r:id="rId29" display="https://www.miit.gov.cn/gzcy/yjzj/art/2020/art_af1bef04b9624997956b2bff6cdb7383.html" xr:uid="{D7DE0194-0859-4A7F-8EE1-DAE6A9A22192}"/>
    <hyperlink ref="B36" r:id="rId30" display="https://www.mee.gov.cn/xxgk2018/xxgk/xxgk06/202005/t20200521_780130.html" xr:uid="{F2C4E3BB-2A7B-4F08-9F39-AF88476BC67D}"/>
    <hyperlink ref="B37" r:id="rId31" display="https://www.miit.gov.cn/jgsj/jns/wjfb/art/2020/art_cd1f54c35d564035b9e34389e27bcb4a.html" xr:uid="{0A2526F1-4010-422C-93AF-BB43CE741F41}"/>
    <hyperlink ref="B38" r:id="rId32" display="http://www.gov.cn/xinwen/2020-08/27/content_5537859.htm" xr:uid="{E7406CBB-D96C-4ADD-A510-4D771ADE3F73}"/>
    <hyperlink ref="B39" r:id="rId33" display="http://www.gov.cn/xinwen/2015-11/25/content_2971995.htm" xr:uid="{64A1C83B-AFA2-4E1D-B95E-BF3CE275EB45}"/>
    <hyperlink ref="B41" r:id="rId34" display="https://www.ndrc.gov.cn/xxgk/zcfb/tz/202106/t20210603_1282521.html?code=&amp;state=123" xr:uid="{AE6C5A55-CAB3-430A-A40C-170095EDE04F}"/>
    <hyperlink ref="B52" r:id="rId35" display="http://www.gov.cn/xinwen/2019-06/19/content_5401443.htm" xr:uid="{F1C048B5-1BCD-4E22-8EFE-49774E9D7078}"/>
    <hyperlink ref="B53" r:id="rId36" display="http://www.mee.gov.cn/gkml/hbb/bgt/201709/t20170913_421402.htm" xr:uid="{346C47FA-4DBA-4655-A5AD-233C44F815D4}"/>
    <hyperlink ref="B54" r:id="rId37" display="https://www.ndrc.gov.cn/xxgk/zcfb/tz/201701/t20170119_962878.html" xr:uid="{EFB16B15-2903-4962-9A21-EBC385988C8B}"/>
    <hyperlink ref="B57" r:id="rId38" display="https://www.ndrc.gov.cn/xxgk/zcfb/ghxwj/202105/t20210522_1280548.html?code=&amp;state=123" xr:uid="{7E9B7EF4-BB46-4F14-AF70-83EFAD9517C0}"/>
    <hyperlink ref="B58" r:id="rId39" display="https://www.gov.cn/zhengce/2021-06/25/content_5723644.htm" xr:uid="{3091513E-3839-4A1C-B717-D2171D01FCAA}"/>
    <hyperlink ref="B59" r:id="rId40" display="http://www.gov.cn/zhengce/zhengceku/2021-06/08/content_5616290.htm" xr:uid="{2D732EDA-1927-45A9-98B5-3534454C04E4}"/>
    <hyperlink ref="B61" r:id="rId41" display="https://www.gov.cn/xinwen/2021-06/22/content_5620028.htm" xr:uid="{FE7ACEA2-D292-4C96-B4F4-50126147F075}"/>
    <hyperlink ref="B62" r:id="rId42" display="http://www.mohurd.gov.cn/wjfb/202105/t20210506_250023.html" xr:uid="{68468993-0039-4CB0-A2B4-CF8284C894C8}"/>
    <hyperlink ref="B63" r:id="rId43" display="https://www.gov.cn/zhengce/zhengceku/2021-04/15/content_5599673.htm" xr:uid="{423A208D-17A5-484C-9896-AE3C60B92FCC}"/>
    <hyperlink ref="B64" r:id="rId44" display="http://www.gov.cn/zhengce/zhengceku/2020-10/22/content_5553250.htm" xr:uid="{47C942CE-F493-4B3B-8314-F2A8193FF51B}"/>
    <hyperlink ref="B65" r:id="rId45" display="https://www.gov.cn/zhengce/2021-04/15/content_5599679.htm" xr:uid="{5F7C3335-319E-4C5D-8AED-BD5DB7CFA134}"/>
    <hyperlink ref="B66" r:id="rId46" display="http://www.gov.cn/zhengce/zhengceku/2020-07/24/content_5529745.htm" xr:uid="{9D5B1B58-3126-4F6E-8D98-2AE9DD4B218F}"/>
    <hyperlink ref="B67" r:id="rId47" display="http://www.ccpitbuild.org/zhengce/2021-10-25/482.html" xr:uid="{F13934EA-A921-4B94-8621-5D2089D6F79A}"/>
    <hyperlink ref="B68" r:id="rId48" display="http://www.mohurd.gov.cn/zqyj/202001/t20200102_243372.html" xr:uid="{CA538CD8-DAB9-4726-BBAE-96800128C67E}"/>
    <hyperlink ref="B69" r:id="rId49" display="http://www.mohurd.gov.cn/wjfb/201905/t20190530_240712.html" xr:uid="{D83D3AD5-4C98-475A-8AF9-62A48F4FDA45}"/>
    <hyperlink ref="B70" r:id="rId50" display="http://www.mohurd.gov.cn/wjfb/201909/t20190910_241751.html" xr:uid="{80A9C32D-8A53-4834-89EB-2DE6CA6681C3}"/>
    <hyperlink ref="B71" r:id="rId51" display="http://www.mohurd.gov.cn/wjfb/201904/t20190409_240118.html" xr:uid="{182CACFD-D167-4AE1-9471-6C0D3A1DCC40}"/>
    <hyperlink ref="B72" r:id="rId52" display="http://www.mohurd.gov.cn/wjfb/201508/t20150827_224011.html" xr:uid="{ADED0E33-8DE4-4B51-B5E3-C9A68C9C36E8}"/>
    <hyperlink ref="B73" r:id="rId53" display="http://www.gov.cn/gongbao/content/2008/content_1071844.htm" xr:uid="{5BDE96A6-200F-4A4C-8E35-BA9B06320A19}"/>
    <hyperlink ref="B74" r:id="rId54" display="http://www.gov.cn/zhengce/2021-02/24/content_5588654.htm" xr:uid="{3BE26AA1-8ED9-48FF-B69E-42E6D00A47D3}"/>
    <hyperlink ref="B75" r:id="rId55" display="https://www.ndrc.gov.cn/hdjl/yjzq/202105/t20210520_1280320.html?code=&amp;state=123" xr:uid="{B97F5801-FA09-421F-BB26-17B20085A49D}"/>
    <hyperlink ref="B76" r:id="rId56" display="http://www.caam.org.cn/chn/1/cate_2/con_5233121.html" xr:uid="{F99E62CB-C720-480D-9992-FE6DD1A07B67}"/>
    <hyperlink ref="B77" r:id="rId57" display="http://www.gov.cn/zhengce/content/2020-11/02/content_5556716.htm" xr:uid="{DD779E16-9F98-44A1-92AD-221674892C40}"/>
    <hyperlink ref="B79" r:id="rId58" display="http://www.gov.cn/zhengce/zhengceku/2020-04/22/content_5505188.htm" xr:uid="{F3BAED3A-3B46-47BD-B176-FA21BE0C85F2}"/>
    <hyperlink ref="B80" r:id="rId59" display="http://www.gov.cn/zhengce/zhengceku/2020-04/23/content_5505502.htm" xr:uid="{76223A1B-F524-44DC-8E0E-1C1E6F7EDD7B}"/>
    <hyperlink ref="B81" r:id="rId60" display="http://www.gov.cn/xinwen/2019-05/09/content_5389902.htm" xr:uid="{B13BF0A8-331F-43DE-A763-72B5CB41EEFF}"/>
    <hyperlink ref="B82" r:id="rId61" display="https://www.gov.cn/zhengce/zhengceku/2019-10/25/content_5445047.htm" xr:uid="{7C48F9EA-68E8-4CCF-BFB2-CC276ECA66F5}"/>
    <hyperlink ref="B83" r:id="rId62" display="http://www.gov.cn/zhengce/zhengceku/2020-06/22/content_5521144.htm" xr:uid="{AA91203F-6982-467C-80DA-C2F2A58469C0}"/>
    <hyperlink ref="B86" r:id="rId63" display="https://www.mee.gov.cn/gkml/hbb/bgg/201612/t20161223_369497.htm" xr:uid="{F85BC2D7-2E8B-4912-8289-A584B2873B22}"/>
    <hyperlink ref="B87" r:id="rId64" display="http://www.gov.cn/zhengce/zhengceku/2021-04/25/content_5601957.htm" xr:uid="{1CFEC1F4-E44F-493E-B524-7DABB7BC5FF3}"/>
    <hyperlink ref="B88" r:id="rId65" display="http://www.gov.cn/zhengce/zhengceku/2021-07/07/content_5623077.htm" xr:uid="{F87B170D-25EC-44D7-BF58-4313BA110A5B}"/>
    <hyperlink ref="B89" r:id="rId66" display="http://www.gov.cn/xinwen/2021-02/22/content_5588304.htm" xr:uid="{93549FA2-C33F-41E6-8CD5-50264D2A2851}"/>
    <hyperlink ref="B90" r:id="rId67" display="http://www.gov.cn/zhengce/zhengceku/2021-06/10/content_5616601.htm" xr:uid="{E1706135-1BA0-40D0-A1B7-BA0C9BCF360F}"/>
    <hyperlink ref="B91" r:id="rId68" display="http://www.gov.cn/zhengce/zhengceku/2021-08/05/content_5629560.htm" xr:uid="{167002EE-4963-4369-B4EF-9EB76A786BB4}"/>
    <hyperlink ref="B92" r:id="rId69" display="http://www.npc.gov.cn/zgrdw/npc/xinwen/2018-11/05/content_2065669.htm" xr:uid="{2A86F308-EC68-4B74-9BF3-13308DC5EC6F}"/>
    <hyperlink ref="B93" r:id="rId70" display="http://www.gov.cn/zhengce/zhengceku/2021-07/24/content_5627088.htm" xr:uid="{062DD261-484A-4ABC-B0CA-CE736D0714DE}"/>
    <hyperlink ref="B94" r:id="rId71" display="https://www.ndrc.gov.cn/xxgk/zcfb/ghxwj/201912/t20191219_1213770.html" xr:uid="{4DA6CC15-7A03-457E-B67A-BBAB1A7548DB}"/>
    <hyperlink ref="B95" r:id="rId72" display="https://www.ndrc.gov.cn/xxgk/zcfb/tz/202106/t20210611_1283163.html?code=&amp;state=123" xr:uid="{740C3A27-FF57-42B9-A394-1EC56C491BA6}"/>
    <hyperlink ref="B96" r:id="rId73" display="http://www.gov.cn/zhengce/zhengceku/2020-09/21/content_5545221.htm" xr:uid="{9C9FA2F9-A773-4342-B3C9-18EA8C123F9E}"/>
    <hyperlink ref="B97" r:id="rId74" display="http://www.gov.cn/gongbao/content/2021/content_5591410.htm" xr:uid="{D1A845C3-9DFF-400B-855A-25EA5086237A}"/>
    <hyperlink ref="B100" r:id="rId75" display="https://www.ndrc.gov.cn/xxgk/zcfb/tz/202006/t20200611_1231112.html" xr:uid="{C069F030-B23A-4A6B-8809-15A3068D79AB}"/>
    <hyperlink ref="B101" r:id="rId76" display="https://www.ndrc.gov.cn/xxgk/zcfb/tz/202106/t20210623_1283821.html" xr:uid="{96461B68-4E78-4ABD-A641-5F951EA370C0}"/>
    <hyperlink ref="B102" r:id="rId77" display="https://www.forestry.gov.cn/zlszz/4249/20190807/091811732361912.html" xr:uid="{709325AB-A9B3-4B40-9E21-49F416C1DD27}"/>
    <hyperlink ref="B103" r:id="rId78" display="https://baike.baidu.com/item/%E5%9B%BD%E5%AE%B6%E5%82%A8%E5%A4%87%E6%9E%97%E5%BB%BA%E8%AE%BE%E8%A7%84%E5%88%92%EF%BC%882018-2035%E5%B9%B4%EF%BC%89/22490848" xr:uid="{5EBBCD6A-CF0B-4E40-8A44-BE80A92B51E4}"/>
    <hyperlink ref="B104" r:id="rId79" display="http://www.forestry.gov.cn/main/58/20160728/892769.html" xr:uid="{A9123A80-3D70-454A-99BE-72FAE1BC264A}"/>
    <hyperlink ref="B105" r:id="rId80" display="http://www.gov.cn/xinwen/2021-03/13/content_5592681.htm" xr:uid="{DDC05AB8-A816-4D6F-B364-F6101DF55DBA}"/>
    <hyperlink ref="B106" r:id="rId81" display="https://www.gov.cn/zhengce/2021-10/24/content_5644613.htm" xr:uid="{3CE2EFF9-D501-43D0-827A-DFD790924FEE}"/>
    <hyperlink ref="B107" r:id="rId82" display="https://www.gov.cn/zhengce/content/2021-10/26/content_5644984.htm" xr:uid="{00F503A4-815E-46E8-893C-B09664EECFB9}"/>
    <hyperlink ref="B108" r:id="rId83" display="https://www.gov.cn/zhengce/content/2021-10/26/content_5644984.htm" xr:uid="{F210B4D5-AB51-445A-B72F-E9F5CB40A24F}"/>
    <hyperlink ref="B109" r:id="rId84" display="https://www.gov.cn/zhengce/content/2022-01/24/content_5670202.htm" xr:uid="{27028F04-83C4-4567-9AA3-4B475B915044}"/>
    <hyperlink ref="B110" r:id="rId85" display="https://baike.baidu.com/item/%E4%B8%AD%E5%8D%8E%E4%BA%BA%E6%B0%91%E5%85%B1%E5%92%8C%E5%9B%BD%E8%8A%82%E7%BA%A6%E8%83%BD%E6%BA%90%E6%B3%95/543313" xr:uid="{AE7144C9-D753-4F96-9125-7732DEC629F8}"/>
    <hyperlink ref="B111" r:id="rId86" display="https://www.ndrc.gov.cn/xxgk/zcfb/tz/201704/t20170425_962953.html" xr:uid="{DD676597-0E3C-4071-88FB-88A30BC71063}"/>
    <hyperlink ref="B114" r:id="rId87" display="https://www.ndrc.gov.cn/xxgk/zcfb/tz/202105/t20210525_1280785.html?code=&amp;state=123" xr:uid="{E9249007-587E-440A-B6FF-DE727A5FE3AC}"/>
    <hyperlink ref="B115" r:id="rId88" display="https://www.ndrc.gov.cn/xxgk/zcfb/tz/201606/t20160601_963080.html" xr:uid="{AE811D0C-F618-4997-83A4-0549E2981534}"/>
    <hyperlink ref="B116" r:id="rId89" display="https://www.mee.gov.cn/ywgz/fgbz/fl/201811/t20181113_673567.shtml" xr:uid="{875A23F4-8939-4303-81B9-4C84FBAEA57F}"/>
    <hyperlink ref="B117" r:id="rId90" display="http://www.gov.cn/zhengce/zhengceku/2021-06/11/content_5616962.htm" xr:uid="{40F992EA-F4DA-4354-B399-002511611B4A}"/>
    <hyperlink ref="B118" r:id="rId91" display="https://www.ndrc.gov.cn/xxgk/zcfb/tz/202103/t20210312_1269410.html" xr:uid="{8FB71F86-2AA4-4DA5-9394-F1817EA88344}"/>
    <hyperlink ref="B119" r:id="rId92" display="http://www.gov.cn/zhengce/zhengceku/2021-04/22/content_5601284.htm" xr:uid="{CAF9F633-0854-4D26-83F0-53F9BCE2EBBF}"/>
    <hyperlink ref="B121" r:id="rId93" display="https://sme.miit.gov.cn/xwzx/jdxw/art/2021/art_1634dc00aace4c32a6f18aa0b4819b18.html" xr:uid="{B8A2E82C-F3A0-44CF-B52E-E94D2EA37A5E}"/>
    <hyperlink ref="B122" r:id="rId94" display="http://www.gov.cn/zhengce/zhengceku/2018-12/31/content_5442783.htm" xr:uid="{1CD7525E-0C3A-4F1C-AA75-85369A351C9C}"/>
    <hyperlink ref="B123" r:id="rId95" display="http://www.gov.cn/zhengce/zhengceku/2019-10/25/content_5444881.htm" xr:uid="{EC38D72B-8C9D-473C-B2C2-9D708439E4F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3322-7A34-4E8C-9A0E-818B2F04E059}">
  <dimension ref="A1:T134"/>
  <sheetViews>
    <sheetView workbookViewId="0">
      <selection activeCell="E4" sqref="E4"/>
    </sheetView>
  </sheetViews>
  <sheetFormatPr defaultRowHeight="14.25" x14ac:dyDescent="0.2"/>
  <cols>
    <col min="1" max="1" width="13.875" bestFit="1" customWidth="1"/>
    <col min="2" max="2" width="31.5" bestFit="1" customWidth="1"/>
    <col min="3" max="3" width="24.875" style="7" customWidth="1"/>
    <col min="4" max="4" width="10.125" bestFit="1" customWidth="1"/>
    <col min="17" max="17" width="11.25" bestFit="1" customWidth="1"/>
    <col min="20" max="20" width="11.25" bestFit="1" customWidth="1"/>
  </cols>
  <sheetData>
    <row r="1" spans="1:20" x14ac:dyDescent="0.2">
      <c r="A1" s="4" t="s">
        <v>184</v>
      </c>
      <c r="B1" s="4" t="s">
        <v>47</v>
      </c>
      <c r="C1" s="8" t="s">
        <v>48</v>
      </c>
    </row>
    <row r="2" spans="1:20" x14ac:dyDescent="0.2">
      <c r="A2" s="1" t="s">
        <v>185</v>
      </c>
      <c r="B2" s="1" t="s">
        <v>51</v>
      </c>
      <c r="C2" s="6">
        <v>44493</v>
      </c>
      <c r="D2" s="6">
        <v>44440</v>
      </c>
      <c r="E2" t="b">
        <f>总表!J1=COUNTIFS(C$2:C$26, "&gt;="&amp;D2,C$2:C$26, "&lt;"&amp;D3)</f>
        <v>0</v>
      </c>
    </row>
    <row r="3" spans="1:20" x14ac:dyDescent="0.2">
      <c r="A3" s="1" t="s">
        <v>185</v>
      </c>
      <c r="B3" s="1" t="s">
        <v>52</v>
      </c>
      <c r="C3" s="6">
        <v>44845</v>
      </c>
      <c r="D3" s="6">
        <v>44470</v>
      </c>
      <c r="P3">
        <v>1</v>
      </c>
      <c r="Q3" s="6">
        <v>44493</v>
      </c>
      <c r="S3">
        <v>1</v>
      </c>
      <c r="T3" s="6">
        <v>44493</v>
      </c>
    </row>
    <row r="4" spans="1:20" x14ac:dyDescent="0.2">
      <c r="A4" s="1" t="s">
        <v>185</v>
      </c>
      <c r="B4" s="1" t="s">
        <v>53</v>
      </c>
      <c r="C4" s="6">
        <v>44798</v>
      </c>
      <c r="D4" s="6">
        <v>44501</v>
      </c>
      <c r="E4">
        <f t="shared" ref="E4:E35" si="0">COUNTIFS(C$2:C$26, "&gt;="&amp;D4,C$2:C$26, "&lt;"&amp;D5)</f>
        <v>0</v>
      </c>
      <c r="P4">
        <v>1</v>
      </c>
      <c r="Q4" s="6">
        <v>44845</v>
      </c>
      <c r="S4">
        <v>1</v>
      </c>
      <c r="T4" s="6">
        <v>44461</v>
      </c>
    </row>
    <row r="5" spans="1:20" x14ac:dyDescent="0.2">
      <c r="A5" s="1" t="s">
        <v>185</v>
      </c>
      <c r="B5" s="1" t="s">
        <v>55</v>
      </c>
      <c r="C5" s="6">
        <v>44750</v>
      </c>
      <c r="D5" s="6">
        <v>44531</v>
      </c>
      <c r="E5">
        <f t="shared" si="0"/>
        <v>0</v>
      </c>
      <c r="P5">
        <v>1</v>
      </c>
      <c r="Q5" s="6">
        <v>44798</v>
      </c>
    </row>
    <row r="6" spans="1:20" x14ac:dyDescent="0.2">
      <c r="A6" s="1" t="s">
        <v>185</v>
      </c>
      <c r="B6" s="1" t="s">
        <v>56</v>
      </c>
      <c r="C6" s="6">
        <v>44731</v>
      </c>
      <c r="D6" s="6">
        <v>44562</v>
      </c>
      <c r="E6">
        <f t="shared" si="0"/>
        <v>0</v>
      </c>
      <c r="P6">
        <v>1</v>
      </c>
      <c r="Q6" s="6">
        <v>44750</v>
      </c>
      <c r="S6">
        <v>1</v>
      </c>
      <c r="T6" s="6">
        <v>44845</v>
      </c>
    </row>
    <row r="7" spans="1:20" x14ac:dyDescent="0.2">
      <c r="A7" s="1" t="s">
        <v>185</v>
      </c>
      <c r="B7" s="1" t="s">
        <v>57</v>
      </c>
      <c r="C7" s="6">
        <v>44931</v>
      </c>
      <c r="D7" s="6">
        <v>44593</v>
      </c>
      <c r="E7">
        <f t="shared" si="0"/>
        <v>0</v>
      </c>
      <c r="P7">
        <v>1</v>
      </c>
      <c r="Q7" s="6">
        <v>44731</v>
      </c>
      <c r="S7">
        <v>1</v>
      </c>
      <c r="T7" s="6">
        <v>44798</v>
      </c>
    </row>
    <row r="8" spans="1:20" x14ac:dyDescent="0.2">
      <c r="A8" s="1" t="s">
        <v>185</v>
      </c>
      <c r="B8" s="1" t="s">
        <v>58</v>
      </c>
      <c r="C8" s="6">
        <v>44816</v>
      </c>
      <c r="D8" s="6">
        <v>44621</v>
      </c>
      <c r="E8">
        <f t="shared" si="0"/>
        <v>0</v>
      </c>
      <c r="P8">
        <v>1</v>
      </c>
      <c r="Q8" s="6">
        <v>44931</v>
      </c>
      <c r="S8">
        <v>1</v>
      </c>
      <c r="T8" s="6">
        <v>44750</v>
      </c>
    </row>
    <row r="9" spans="1:20" x14ac:dyDescent="0.2">
      <c r="A9" s="1" t="s">
        <v>185</v>
      </c>
      <c r="B9" s="1" t="s">
        <v>59</v>
      </c>
      <c r="C9" s="6">
        <v>44764</v>
      </c>
      <c r="D9" s="6">
        <v>44652</v>
      </c>
      <c r="E9">
        <f t="shared" si="0"/>
        <v>0</v>
      </c>
      <c r="P9">
        <v>1</v>
      </c>
      <c r="Q9" s="6">
        <v>44816</v>
      </c>
      <c r="S9">
        <v>1</v>
      </c>
      <c r="T9" s="6">
        <v>44731</v>
      </c>
    </row>
    <row r="10" spans="1:20" x14ac:dyDescent="0.2">
      <c r="A10" s="1" t="s">
        <v>185</v>
      </c>
      <c r="B10" s="1" t="s">
        <v>60</v>
      </c>
      <c r="C10" s="6">
        <v>44836</v>
      </c>
      <c r="D10" s="6">
        <v>44682</v>
      </c>
      <c r="E10">
        <f t="shared" si="0"/>
        <v>0</v>
      </c>
      <c r="P10">
        <v>1</v>
      </c>
      <c r="Q10" s="6">
        <v>44764</v>
      </c>
      <c r="S10">
        <v>1</v>
      </c>
      <c r="T10" s="6">
        <v>44931</v>
      </c>
    </row>
    <row r="11" spans="1:20" x14ac:dyDescent="0.2">
      <c r="A11" s="1" t="s">
        <v>185</v>
      </c>
      <c r="B11" s="1" t="s">
        <v>61</v>
      </c>
      <c r="C11" s="6">
        <v>44827</v>
      </c>
      <c r="D11" s="6">
        <v>44713</v>
      </c>
      <c r="E11">
        <f t="shared" si="0"/>
        <v>3</v>
      </c>
      <c r="P11">
        <v>1</v>
      </c>
      <c r="Q11" s="6">
        <v>44836</v>
      </c>
      <c r="S11">
        <v>1</v>
      </c>
      <c r="T11" s="6">
        <v>44816</v>
      </c>
    </row>
    <row r="12" spans="1:20" x14ac:dyDescent="0.2">
      <c r="A12" s="1" t="s">
        <v>185</v>
      </c>
      <c r="B12" s="1" t="s">
        <v>62</v>
      </c>
      <c r="C12" s="6">
        <v>44750</v>
      </c>
      <c r="D12" s="6">
        <v>44743</v>
      </c>
      <c r="E12">
        <f t="shared" si="0"/>
        <v>4</v>
      </c>
      <c r="P12">
        <v>1</v>
      </c>
      <c r="Q12" s="6">
        <v>44827</v>
      </c>
      <c r="S12">
        <v>1</v>
      </c>
      <c r="T12" s="6">
        <v>44764</v>
      </c>
    </row>
    <row r="13" spans="1:20" x14ac:dyDescent="0.2">
      <c r="A13" s="1" t="s">
        <v>185</v>
      </c>
      <c r="B13" s="1" t="s">
        <v>63</v>
      </c>
      <c r="C13" s="6">
        <v>44913</v>
      </c>
      <c r="D13" s="6">
        <v>44774</v>
      </c>
      <c r="E13">
        <f t="shared" si="0"/>
        <v>3</v>
      </c>
      <c r="P13">
        <v>1</v>
      </c>
      <c r="Q13" s="6">
        <v>44750</v>
      </c>
      <c r="S13">
        <v>1</v>
      </c>
      <c r="T13" s="6">
        <v>44836</v>
      </c>
    </row>
    <row r="14" spans="1:20" x14ac:dyDescent="0.2">
      <c r="A14" s="1" t="s">
        <v>185</v>
      </c>
      <c r="B14" s="1" t="s">
        <v>64</v>
      </c>
      <c r="C14" s="6">
        <v>44963</v>
      </c>
      <c r="D14" s="6">
        <v>44805</v>
      </c>
      <c r="E14">
        <f t="shared" si="0"/>
        <v>3</v>
      </c>
      <c r="P14">
        <v>1</v>
      </c>
      <c r="Q14" s="6">
        <v>44913</v>
      </c>
      <c r="S14">
        <v>1</v>
      </c>
      <c r="T14" s="6">
        <v>44827</v>
      </c>
    </row>
    <row r="15" spans="1:20" x14ac:dyDescent="0.2">
      <c r="A15" s="1" t="s">
        <v>185</v>
      </c>
      <c r="B15" s="1" t="s">
        <v>65</v>
      </c>
      <c r="C15" s="6">
        <v>44862</v>
      </c>
      <c r="D15" s="6">
        <v>44835</v>
      </c>
      <c r="E15">
        <f t="shared" si="0"/>
        <v>3</v>
      </c>
      <c r="P15">
        <v>1</v>
      </c>
      <c r="Q15" s="6">
        <v>44963</v>
      </c>
      <c r="S15">
        <v>1</v>
      </c>
      <c r="T15" s="6">
        <v>44750</v>
      </c>
    </row>
    <row r="16" spans="1:20" x14ac:dyDescent="0.2">
      <c r="A16" s="1" t="s">
        <v>185</v>
      </c>
      <c r="B16" s="1" t="s">
        <v>66</v>
      </c>
      <c r="C16" s="6">
        <v>44735</v>
      </c>
      <c r="D16" s="6">
        <v>44866</v>
      </c>
      <c r="E16">
        <f t="shared" si="0"/>
        <v>2</v>
      </c>
      <c r="P16">
        <v>1</v>
      </c>
      <c r="Q16" s="6">
        <v>44862</v>
      </c>
      <c r="S16">
        <v>1</v>
      </c>
      <c r="T16" s="6">
        <v>44913</v>
      </c>
    </row>
    <row r="17" spans="1:20" x14ac:dyDescent="0.2">
      <c r="A17" s="1" t="s">
        <v>185</v>
      </c>
      <c r="B17" s="1" t="s">
        <v>67</v>
      </c>
      <c r="C17" s="6">
        <v>44782</v>
      </c>
      <c r="D17" s="6">
        <v>44896</v>
      </c>
      <c r="E17">
        <f t="shared" si="0"/>
        <v>4</v>
      </c>
      <c r="P17">
        <v>1</v>
      </c>
      <c r="Q17" s="6">
        <v>44735</v>
      </c>
      <c r="S17">
        <v>1</v>
      </c>
      <c r="T17" s="6">
        <v>44963</v>
      </c>
    </row>
    <row r="18" spans="1:20" x14ac:dyDescent="0.2">
      <c r="A18" s="1" t="s">
        <v>185</v>
      </c>
      <c r="B18" s="1" t="s">
        <v>68</v>
      </c>
      <c r="C18" s="6">
        <v>44926</v>
      </c>
      <c r="D18" s="6">
        <v>44927</v>
      </c>
      <c r="E18">
        <f t="shared" si="0"/>
        <v>1</v>
      </c>
      <c r="P18">
        <v>1</v>
      </c>
      <c r="Q18" s="6">
        <v>44782</v>
      </c>
      <c r="S18">
        <v>1</v>
      </c>
      <c r="T18" s="6">
        <v>44862</v>
      </c>
    </row>
    <row r="19" spans="1:20" x14ac:dyDescent="0.2">
      <c r="A19" s="1" t="s">
        <v>185</v>
      </c>
      <c r="B19" s="1" t="s">
        <v>69</v>
      </c>
      <c r="C19" s="6">
        <v>44869</v>
      </c>
      <c r="D19" s="6">
        <v>44958</v>
      </c>
      <c r="E19">
        <f t="shared" si="0"/>
        <v>1</v>
      </c>
      <c r="P19">
        <v>1</v>
      </c>
      <c r="Q19" s="6">
        <v>44926</v>
      </c>
      <c r="S19">
        <v>1</v>
      </c>
      <c r="T19" s="6">
        <v>44735</v>
      </c>
    </row>
    <row r="20" spans="1:20" x14ac:dyDescent="0.2">
      <c r="A20" s="1" t="s">
        <v>185</v>
      </c>
      <c r="B20" s="1" t="s">
        <v>70</v>
      </c>
      <c r="C20" s="6">
        <v>44784</v>
      </c>
      <c r="D20" s="6">
        <v>44986</v>
      </c>
      <c r="E20">
        <f t="shared" si="0"/>
        <v>0</v>
      </c>
      <c r="P20">
        <v>1</v>
      </c>
      <c r="Q20" s="6">
        <v>44869</v>
      </c>
      <c r="S20">
        <v>1</v>
      </c>
      <c r="T20" s="6">
        <v>44782</v>
      </c>
    </row>
    <row r="21" spans="1:20" x14ac:dyDescent="0.2">
      <c r="A21" s="1" t="s">
        <v>185</v>
      </c>
      <c r="B21" s="1" t="s">
        <v>71</v>
      </c>
      <c r="C21" s="6">
        <v>44764</v>
      </c>
      <c r="D21" s="6">
        <v>45017</v>
      </c>
      <c r="E21">
        <f t="shared" si="0"/>
        <v>0</v>
      </c>
      <c r="P21">
        <v>1</v>
      </c>
      <c r="Q21" s="6">
        <v>44784</v>
      </c>
      <c r="S21">
        <v>1</v>
      </c>
      <c r="T21" s="6">
        <v>44926</v>
      </c>
    </row>
    <row r="22" spans="1:20" x14ac:dyDescent="0.2">
      <c r="A22" s="1" t="s">
        <v>185</v>
      </c>
      <c r="B22" s="1" t="s">
        <v>72</v>
      </c>
      <c r="C22" s="6">
        <v>44721</v>
      </c>
      <c r="D22" s="6">
        <v>45047</v>
      </c>
      <c r="E22">
        <f t="shared" si="0"/>
        <v>0</v>
      </c>
      <c r="P22">
        <v>1</v>
      </c>
      <c r="Q22" s="6">
        <v>44764</v>
      </c>
      <c r="S22">
        <v>1</v>
      </c>
      <c r="T22" s="6">
        <v>44869</v>
      </c>
    </row>
    <row r="23" spans="1:20" x14ac:dyDescent="0.2">
      <c r="A23" s="1" t="s">
        <v>185</v>
      </c>
      <c r="B23" s="1" t="s">
        <v>73</v>
      </c>
      <c r="C23" s="6">
        <v>44913</v>
      </c>
      <c r="D23" s="6">
        <v>45078</v>
      </c>
      <c r="E23">
        <f t="shared" si="0"/>
        <v>0</v>
      </c>
      <c r="P23">
        <v>1</v>
      </c>
      <c r="Q23" s="6">
        <v>44721</v>
      </c>
      <c r="S23">
        <v>1</v>
      </c>
      <c r="T23" s="6">
        <v>44784</v>
      </c>
    </row>
    <row r="24" spans="1:20" x14ac:dyDescent="0.2">
      <c r="A24" s="1" t="s">
        <v>185</v>
      </c>
      <c r="B24" s="1" t="s">
        <v>74</v>
      </c>
      <c r="C24" s="6">
        <v>44883</v>
      </c>
      <c r="D24" s="6">
        <v>45108</v>
      </c>
      <c r="E24">
        <f t="shared" si="0"/>
        <v>0</v>
      </c>
      <c r="P24">
        <v>1</v>
      </c>
      <c r="Q24" s="6">
        <v>44913</v>
      </c>
      <c r="S24">
        <v>1</v>
      </c>
      <c r="T24" s="6">
        <v>44764</v>
      </c>
    </row>
    <row r="25" spans="1:20" x14ac:dyDescent="0.2">
      <c r="A25" s="1" t="s">
        <v>185</v>
      </c>
      <c r="B25" s="1" t="s">
        <v>75</v>
      </c>
      <c r="C25" s="6">
        <v>44924</v>
      </c>
      <c r="D25" s="6">
        <v>45139</v>
      </c>
      <c r="E25">
        <f t="shared" si="0"/>
        <v>0</v>
      </c>
      <c r="P25">
        <v>1</v>
      </c>
      <c r="Q25" s="6">
        <v>44883</v>
      </c>
      <c r="S25">
        <v>1</v>
      </c>
      <c r="T25" s="6">
        <v>44721</v>
      </c>
    </row>
    <row r="26" spans="1:20" x14ac:dyDescent="0.2">
      <c r="A26" s="1" t="s">
        <v>185</v>
      </c>
      <c r="B26" s="1" t="s">
        <v>76</v>
      </c>
      <c r="C26" s="6">
        <v>44834</v>
      </c>
      <c r="D26" s="6">
        <v>45170</v>
      </c>
      <c r="E26">
        <f t="shared" si="0"/>
        <v>0</v>
      </c>
      <c r="P26">
        <v>1</v>
      </c>
      <c r="Q26" s="6">
        <v>44924</v>
      </c>
      <c r="S26">
        <v>1</v>
      </c>
      <c r="T26" s="6">
        <v>44913</v>
      </c>
    </row>
    <row r="27" spans="1:20" x14ac:dyDescent="0.2">
      <c r="A27" s="1" t="s">
        <v>1</v>
      </c>
      <c r="B27" s="7" t="s">
        <v>77</v>
      </c>
      <c r="C27" s="6">
        <v>44461</v>
      </c>
      <c r="D27" s="6">
        <v>45200</v>
      </c>
      <c r="E27">
        <f t="shared" si="0"/>
        <v>0</v>
      </c>
      <c r="P27">
        <v>1</v>
      </c>
      <c r="Q27" s="6">
        <v>44834</v>
      </c>
      <c r="S27">
        <v>1</v>
      </c>
      <c r="T27" s="6">
        <v>44883</v>
      </c>
    </row>
    <row r="28" spans="1:20" x14ac:dyDescent="0.2">
      <c r="A28" s="1" t="s">
        <v>1</v>
      </c>
      <c r="B28" s="7" t="s">
        <v>78</v>
      </c>
      <c r="C28" s="6">
        <v>44748</v>
      </c>
      <c r="D28" s="6">
        <v>45231</v>
      </c>
      <c r="E28">
        <f t="shared" si="0"/>
        <v>0</v>
      </c>
      <c r="P28">
        <v>2</v>
      </c>
      <c r="Q28" s="6">
        <v>44461</v>
      </c>
      <c r="S28">
        <v>1</v>
      </c>
      <c r="T28" s="6">
        <v>44924</v>
      </c>
    </row>
    <row r="29" spans="1:20" x14ac:dyDescent="0.2">
      <c r="A29" s="1" t="s">
        <v>1</v>
      </c>
      <c r="B29" s="7" t="s">
        <v>79</v>
      </c>
      <c r="C29" s="6">
        <v>44771</v>
      </c>
      <c r="D29" s="6">
        <v>45261</v>
      </c>
      <c r="E29">
        <f t="shared" si="0"/>
        <v>0</v>
      </c>
      <c r="P29">
        <v>2</v>
      </c>
      <c r="Q29" s="6">
        <v>44748</v>
      </c>
      <c r="S29">
        <v>1</v>
      </c>
      <c r="T29" s="6">
        <v>44834</v>
      </c>
    </row>
    <row r="30" spans="1:20" x14ac:dyDescent="0.2">
      <c r="A30" s="1" t="s">
        <v>1</v>
      </c>
      <c r="B30" s="7" t="s">
        <v>80</v>
      </c>
      <c r="C30" s="6">
        <v>44566</v>
      </c>
      <c r="D30" s="6">
        <v>45292</v>
      </c>
      <c r="E30">
        <f t="shared" si="0"/>
        <v>0</v>
      </c>
      <c r="P30">
        <v>2</v>
      </c>
      <c r="Q30" s="6">
        <v>44771</v>
      </c>
      <c r="S30">
        <v>1</v>
      </c>
      <c r="T30" s="6">
        <v>44748</v>
      </c>
    </row>
    <row r="31" spans="1:20" x14ac:dyDescent="0.2">
      <c r="A31" s="1" t="s">
        <v>1</v>
      </c>
      <c r="B31" s="7" t="s">
        <v>81</v>
      </c>
      <c r="C31" s="6">
        <v>44944</v>
      </c>
      <c r="D31" s="6">
        <v>45323</v>
      </c>
      <c r="E31">
        <f t="shared" si="0"/>
        <v>0</v>
      </c>
      <c r="P31">
        <v>2</v>
      </c>
      <c r="Q31" s="6">
        <v>44566</v>
      </c>
      <c r="S31">
        <v>1</v>
      </c>
      <c r="T31" s="6">
        <v>44771</v>
      </c>
    </row>
    <row r="32" spans="1:20" x14ac:dyDescent="0.2">
      <c r="A32" s="1" t="s">
        <v>1</v>
      </c>
      <c r="B32" s="7" t="s">
        <v>82</v>
      </c>
      <c r="C32" s="6">
        <v>44530</v>
      </c>
      <c r="D32" s="6">
        <v>45352</v>
      </c>
      <c r="E32">
        <f t="shared" si="0"/>
        <v>0</v>
      </c>
      <c r="P32">
        <v>2</v>
      </c>
      <c r="Q32" s="6">
        <v>44944</v>
      </c>
      <c r="S32">
        <v>1</v>
      </c>
      <c r="T32" s="6">
        <v>44566</v>
      </c>
    </row>
    <row r="33" spans="1:20" x14ac:dyDescent="0.2">
      <c r="A33" s="1" t="s">
        <v>1</v>
      </c>
      <c r="B33" s="7" t="s">
        <v>83</v>
      </c>
      <c r="C33" s="6">
        <v>44576</v>
      </c>
      <c r="D33" s="6">
        <v>45383</v>
      </c>
      <c r="E33">
        <f t="shared" si="0"/>
        <v>0</v>
      </c>
      <c r="P33">
        <v>2</v>
      </c>
      <c r="Q33" s="6">
        <v>44530</v>
      </c>
      <c r="S33">
        <v>1</v>
      </c>
      <c r="T33" s="6">
        <v>44944</v>
      </c>
    </row>
    <row r="34" spans="1:20" x14ac:dyDescent="0.2">
      <c r="A34" s="1" t="s">
        <v>1</v>
      </c>
      <c r="B34" s="7" t="s">
        <v>84</v>
      </c>
      <c r="C34" s="6">
        <v>44609</v>
      </c>
      <c r="D34" s="6">
        <v>45413</v>
      </c>
      <c r="E34">
        <f t="shared" si="0"/>
        <v>0</v>
      </c>
      <c r="P34">
        <v>2</v>
      </c>
      <c r="Q34" s="6">
        <v>44576</v>
      </c>
      <c r="S34">
        <v>1</v>
      </c>
      <c r="T34" s="6">
        <v>44530</v>
      </c>
    </row>
    <row r="35" spans="1:20" x14ac:dyDescent="0.2">
      <c r="A35" s="1" t="s">
        <v>1</v>
      </c>
      <c r="B35" s="7" t="s">
        <v>85</v>
      </c>
      <c r="C35" s="6">
        <v>44668</v>
      </c>
      <c r="D35" s="6">
        <v>45444</v>
      </c>
      <c r="E35">
        <f t="shared" si="0"/>
        <v>0</v>
      </c>
      <c r="P35">
        <v>2</v>
      </c>
      <c r="Q35" s="6">
        <v>44609</v>
      </c>
      <c r="S35">
        <v>1</v>
      </c>
      <c r="T35" s="6">
        <v>44576</v>
      </c>
    </row>
    <row r="36" spans="1:20" x14ac:dyDescent="0.2">
      <c r="A36" s="1" t="s">
        <v>1</v>
      </c>
      <c r="B36" s="7" t="s">
        <v>86</v>
      </c>
      <c r="C36" s="6">
        <v>44794</v>
      </c>
      <c r="P36">
        <v>2</v>
      </c>
      <c r="Q36" s="6">
        <v>44668</v>
      </c>
      <c r="S36">
        <v>1</v>
      </c>
      <c r="T36" s="6">
        <v>44609</v>
      </c>
    </row>
    <row r="37" spans="1:20" x14ac:dyDescent="0.2">
      <c r="A37" s="1" t="s">
        <v>1</v>
      </c>
      <c r="B37" s="7" t="s">
        <v>87</v>
      </c>
      <c r="C37" s="6">
        <v>44657</v>
      </c>
      <c r="P37">
        <v>2</v>
      </c>
      <c r="Q37" s="6">
        <v>44794</v>
      </c>
      <c r="S37">
        <v>1</v>
      </c>
      <c r="T37" s="6">
        <v>44668</v>
      </c>
    </row>
    <row r="38" spans="1:20" x14ac:dyDescent="0.2">
      <c r="A38" s="1" t="s">
        <v>1</v>
      </c>
      <c r="B38" s="7" t="s">
        <v>97</v>
      </c>
      <c r="C38" s="6">
        <v>44918</v>
      </c>
      <c r="P38">
        <v>2</v>
      </c>
      <c r="Q38" s="6">
        <v>44657</v>
      </c>
      <c r="S38">
        <v>1</v>
      </c>
      <c r="T38" s="6">
        <v>44794</v>
      </c>
    </row>
    <row r="39" spans="1:20" x14ac:dyDescent="0.2">
      <c r="A39" s="1" t="s">
        <v>1</v>
      </c>
      <c r="B39" s="7" t="s">
        <v>88</v>
      </c>
      <c r="C39" s="6">
        <v>44633</v>
      </c>
      <c r="P39">
        <v>2</v>
      </c>
      <c r="Q39" s="6">
        <v>44918</v>
      </c>
      <c r="S39">
        <v>1</v>
      </c>
      <c r="T39" s="6">
        <v>44657</v>
      </c>
    </row>
    <row r="40" spans="1:20" x14ac:dyDescent="0.2">
      <c r="A40" s="1" t="s">
        <v>1</v>
      </c>
      <c r="B40" s="7" t="s">
        <v>89</v>
      </c>
      <c r="C40" s="6">
        <v>44768</v>
      </c>
      <c r="P40">
        <v>2</v>
      </c>
      <c r="Q40" s="6">
        <v>44633</v>
      </c>
      <c r="S40">
        <v>1</v>
      </c>
      <c r="T40" s="6">
        <v>44918</v>
      </c>
    </row>
    <row r="41" spans="1:20" x14ac:dyDescent="0.2">
      <c r="A41" s="1" t="s">
        <v>1</v>
      </c>
      <c r="B41" s="7" t="s">
        <v>90</v>
      </c>
      <c r="C41" s="6">
        <v>44634</v>
      </c>
      <c r="P41">
        <v>2</v>
      </c>
      <c r="Q41" s="6">
        <v>44768</v>
      </c>
      <c r="S41">
        <v>1</v>
      </c>
      <c r="T41" s="6">
        <v>44633</v>
      </c>
    </row>
    <row r="42" spans="1:20" x14ac:dyDescent="0.2">
      <c r="A42" s="1" t="s">
        <v>1</v>
      </c>
      <c r="B42" s="7" t="s">
        <v>91</v>
      </c>
      <c r="C42" s="6">
        <v>44902</v>
      </c>
      <c r="P42">
        <v>2</v>
      </c>
      <c r="Q42" s="6">
        <v>44634</v>
      </c>
      <c r="S42">
        <v>1</v>
      </c>
      <c r="T42" s="6">
        <v>44768</v>
      </c>
    </row>
    <row r="43" spans="1:20" x14ac:dyDescent="0.2">
      <c r="A43" s="1" t="s">
        <v>1</v>
      </c>
      <c r="B43" s="7" t="s">
        <v>92</v>
      </c>
      <c r="C43" s="6">
        <v>44786</v>
      </c>
      <c r="P43">
        <v>2</v>
      </c>
      <c r="Q43" s="6">
        <v>44902</v>
      </c>
      <c r="S43">
        <v>1</v>
      </c>
      <c r="T43" s="6">
        <v>44634</v>
      </c>
    </row>
    <row r="44" spans="1:20" x14ac:dyDescent="0.2">
      <c r="A44" s="1" t="s">
        <v>1</v>
      </c>
      <c r="B44" s="7" t="s">
        <v>93</v>
      </c>
      <c r="C44" s="6">
        <v>44633</v>
      </c>
      <c r="P44">
        <v>2</v>
      </c>
      <c r="Q44" s="6">
        <v>44786</v>
      </c>
      <c r="S44">
        <v>1</v>
      </c>
      <c r="T44" s="6">
        <v>44902</v>
      </c>
    </row>
    <row r="45" spans="1:20" x14ac:dyDescent="0.2">
      <c r="A45" s="1" t="s">
        <v>1</v>
      </c>
      <c r="B45" s="7" t="s">
        <v>94</v>
      </c>
      <c r="C45" s="6">
        <v>44743</v>
      </c>
      <c r="P45">
        <v>2</v>
      </c>
      <c r="Q45" s="6">
        <v>44633</v>
      </c>
      <c r="S45">
        <v>1</v>
      </c>
      <c r="T45" s="6">
        <v>44786</v>
      </c>
    </row>
    <row r="46" spans="1:20" x14ac:dyDescent="0.2">
      <c r="A46" s="1" t="s">
        <v>1</v>
      </c>
      <c r="B46" s="7" t="s">
        <v>95</v>
      </c>
      <c r="C46" s="6">
        <v>44679</v>
      </c>
      <c r="P46">
        <v>2</v>
      </c>
      <c r="Q46" s="6">
        <v>44743</v>
      </c>
      <c r="S46">
        <v>1</v>
      </c>
      <c r="T46" s="6">
        <v>44633</v>
      </c>
    </row>
    <row r="47" spans="1:20" x14ac:dyDescent="0.2">
      <c r="A47" s="1" t="s">
        <v>1</v>
      </c>
      <c r="B47" s="7" t="s">
        <v>96</v>
      </c>
      <c r="C47" s="6">
        <v>44569</v>
      </c>
      <c r="P47">
        <v>2</v>
      </c>
      <c r="Q47" s="6">
        <v>44679</v>
      </c>
      <c r="S47">
        <v>1</v>
      </c>
      <c r="T47" s="6">
        <v>44743</v>
      </c>
    </row>
    <row r="48" spans="1:20" x14ac:dyDescent="0.2">
      <c r="A48" s="1" t="s">
        <v>2</v>
      </c>
      <c r="B48" t="s">
        <v>99</v>
      </c>
      <c r="C48" s="6">
        <v>44749</v>
      </c>
      <c r="P48">
        <v>2</v>
      </c>
      <c r="Q48" s="6">
        <v>44569</v>
      </c>
      <c r="S48">
        <v>1</v>
      </c>
      <c r="T48" s="6">
        <v>44679</v>
      </c>
    </row>
    <row r="49" spans="1:20" x14ac:dyDescent="0.2">
      <c r="A49" s="1" t="s">
        <v>2</v>
      </c>
      <c r="B49" t="s">
        <v>98</v>
      </c>
      <c r="C49" s="6">
        <v>44900</v>
      </c>
      <c r="P49">
        <v>3</v>
      </c>
      <c r="Q49" s="6">
        <v>44749</v>
      </c>
      <c r="S49">
        <v>1</v>
      </c>
      <c r="T49" s="6">
        <v>44569</v>
      </c>
    </row>
    <row r="50" spans="1:20" x14ac:dyDescent="0.2">
      <c r="A50" s="1" t="s">
        <v>2</v>
      </c>
      <c r="B50" t="s">
        <v>100</v>
      </c>
      <c r="C50" s="6">
        <v>44903</v>
      </c>
      <c r="P50">
        <v>3</v>
      </c>
      <c r="Q50" s="6">
        <v>44900</v>
      </c>
    </row>
    <row r="51" spans="1:20" x14ac:dyDescent="0.2">
      <c r="A51" s="1" t="s">
        <v>2</v>
      </c>
      <c r="B51" t="s">
        <v>101</v>
      </c>
      <c r="C51" s="6">
        <v>44954</v>
      </c>
      <c r="P51">
        <v>3</v>
      </c>
      <c r="Q51" s="6">
        <v>44903</v>
      </c>
    </row>
    <row r="52" spans="1:20" x14ac:dyDescent="0.2">
      <c r="A52" s="1" t="s">
        <v>2</v>
      </c>
      <c r="B52" t="s">
        <v>102</v>
      </c>
      <c r="C52" s="6">
        <v>45007</v>
      </c>
      <c r="P52">
        <v>3</v>
      </c>
      <c r="Q52" s="6">
        <v>44954</v>
      </c>
    </row>
    <row r="53" spans="1:20" x14ac:dyDescent="0.2">
      <c r="A53" s="1" t="s">
        <v>2</v>
      </c>
      <c r="B53" t="s">
        <v>103</v>
      </c>
      <c r="C53" s="6">
        <v>45076</v>
      </c>
      <c r="P53">
        <v>3</v>
      </c>
      <c r="Q53" s="6">
        <v>45007</v>
      </c>
    </row>
    <row r="54" spans="1:20" x14ac:dyDescent="0.2">
      <c r="A54" s="1" t="s">
        <v>2</v>
      </c>
      <c r="B54" t="s">
        <v>104</v>
      </c>
      <c r="C54" s="6">
        <v>45141</v>
      </c>
      <c r="P54">
        <v>3</v>
      </c>
      <c r="Q54" s="6">
        <v>45076</v>
      </c>
    </row>
    <row r="55" spans="1:20" x14ac:dyDescent="0.2">
      <c r="A55" s="1" t="s">
        <v>2</v>
      </c>
      <c r="B55" t="s">
        <v>105</v>
      </c>
      <c r="C55" s="6">
        <v>44893</v>
      </c>
      <c r="P55">
        <v>3</v>
      </c>
      <c r="Q55" s="6">
        <v>45141</v>
      </c>
    </row>
    <row r="56" spans="1:20" x14ac:dyDescent="0.2">
      <c r="A56" s="1" t="s">
        <v>2</v>
      </c>
      <c r="B56" t="s">
        <v>106</v>
      </c>
      <c r="C56" s="6">
        <v>44938</v>
      </c>
      <c r="P56">
        <v>3</v>
      </c>
      <c r="Q56" s="6">
        <v>44893</v>
      </c>
    </row>
    <row r="57" spans="1:20" x14ac:dyDescent="0.2">
      <c r="A57" s="1" t="s">
        <v>2</v>
      </c>
      <c r="B57" t="s">
        <v>107</v>
      </c>
      <c r="C57" s="6">
        <v>44978</v>
      </c>
      <c r="P57">
        <v>3</v>
      </c>
      <c r="Q57" s="6">
        <v>44938</v>
      </c>
    </row>
    <row r="58" spans="1:20" x14ac:dyDescent="0.2">
      <c r="A58" s="1" t="s">
        <v>2</v>
      </c>
      <c r="B58" t="s">
        <v>108</v>
      </c>
      <c r="C58" s="6">
        <v>44895</v>
      </c>
      <c r="P58">
        <v>3</v>
      </c>
      <c r="Q58" s="6">
        <v>44978</v>
      </c>
    </row>
    <row r="59" spans="1:20" x14ac:dyDescent="0.2">
      <c r="A59" s="1" t="s">
        <v>2</v>
      </c>
      <c r="B59" t="s">
        <v>109</v>
      </c>
      <c r="C59" s="6">
        <v>45125</v>
      </c>
      <c r="P59">
        <v>3</v>
      </c>
      <c r="Q59" s="6">
        <v>44895</v>
      </c>
    </row>
    <row r="60" spans="1:20" x14ac:dyDescent="0.2">
      <c r="A60" s="1" t="s">
        <v>2</v>
      </c>
      <c r="B60" t="s">
        <v>110</v>
      </c>
      <c r="C60" s="6">
        <v>44844</v>
      </c>
      <c r="P60">
        <v>3</v>
      </c>
      <c r="Q60" s="6">
        <v>45125</v>
      </c>
    </row>
    <row r="61" spans="1:20" x14ac:dyDescent="0.2">
      <c r="A61" s="1" t="s">
        <v>2</v>
      </c>
      <c r="B61" t="s">
        <v>111</v>
      </c>
      <c r="C61" s="6">
        <v>45044</v>
      </c>
      <c r="P61">
        <v>3</v>
      </c>
      <c r="Q61" s="6">
        <v>44844</v>
      </c>
    </row>
    <row r="62" spans="1:20" x14ac:dyDescent="0.2">
      <c r="A62" s="1" t="s">
        <v>2</v>
      </c>
      <c r="B62" t="s">
        <v>112</v>
      </c>
      <c r="C62" s="6">
        <v>45007</v>
      </c>
      <c r="P62">
        <v>3</v>
      </c>
      <c r="Q62" s="6">
        <v>45044</v>
      </c>
    </row>
    <row r="63" spans="1:20" x14ac:dyDescent="0.2">
      <c r="A63" s="1" t="s">
        <v>2</v>
      </c>
      <c r="B63" t="s">
        <v>113</v>
      </c>
      <c r="C63" s="6">
        <v>44916</v>
      </c>
      <c r="P63">
        <v>3</v>
      </c>
      <c r="Q63" s="6">
        <v>45007</v>
      </c>
    </row>
    <row r="64" spans="1:20" x14ac:dyDescent="0.2">
      <c r="A64" s="1" t="s">
        <v>2</v>
      </c>
      <c r="B64" t="s">
        <v>114</v>
      </c>
      <c r="C64" s="6">
        <v>45224</v>
      </c>
      <c r="P64">
        <v>3</v>
      </c>
      <c r="Q64" s="6">
        <v>44916</v>
      </c>
    </row>
    <row r="65" spans="1:17" x14ac:dyDescent="0.2">
      <c r="A65" s="1" t="s">
        <v>2</v>
      </c>
      <c r="B65" t="s">
        <v>115</v>
      </c>
      <c r="C65" s="6">
        <v>45001</v>
      </c>
      <c r="P65">
        <v>3</v>
      </c>
      <c r="Q65" s="6">
        <v>45224</v>
      </c>
    </row>
    <row r="66" spans="1:17" x14ac:dyDescent="0.2">
      <c r="A66" s="1" t="s">
        <v>2</v>
      </c>
      <c r="B66" t="s">
        <v>116</v>
      </c>
      <c r="C66" s="6">
        <v>45145</v>
      </c>
      <c r="P66">
        <v>3</v>
      </c>
      <c r="Q66" s="6">
        <v>45001</v>
      </c>
    </row>
    <row r="67" spans="1:17" x14ac:dyDescent="0.2">
      <c r="A67" s="1" t="s">
        <v>2</v>
      </c>
      <c r="B67" t="s">
        <v>117</v>
      </c>
      <c r="C67" s="6">
        <v>44973</v>
      </c>
      <c r="P67">
        <v>3</v>
      </c>
      <c r="Q67" s="6">
        <v>45145</v>
      </c>
    </row>
    <row r="68" spans="1:17" x14ac:dyDescent="0.2">
      <c r="A68" s="1" t="s">
        <v>2</v>
      </c>
      <c r="B68" t="s">
        <v>118</v>
      </c>
      <c r="C68" s="6">
        <v>45092</v>
      </c>
      <c r="P68">
        <v>3</v>
      </c>
      <c r="Q68" s="6">
        <v>44973</v>
      </c>
    </row>
    <row r="69" spans="1:17" x14ac:dyDescent="0.2">
      <c r="A69" s="1" t="s">
        <v>2</v>
      </c>
      <c r="B69" t="s">
        <v>119</v>
      </c>
      <c r="C69" s="6">
        <v>45054</v>
      </c>
      <c r="P69">
        <v>3</v>
      </c>
      <c r="Q69" s="6">
        <v>45092</v>
      </c>
    </row>
    <row r="70" spans="1:17" x14ac:dyDescent="0.2">
      <c r="A70" s="1" t="s">
        <v>2</v>
      </c>
      <c r="B70" t="s">
        <v>120</v>
      </c>
      <c r="C70" s="6">
        <v>45050</v>
      </c>
      <c r="P70">
        <v>3</v>
      </c>
      <c r="Q70" s="6">
        <v>45054</v>
      </c>
    </row>
    <row r="71" spans="1:17" x14ac:dyDescent="0.2">
      <c r="A71" s="1" t="s">
        <v>2</v>
      </c>
      <c r="B71" t="s">
        <v>121</v>
      </c>
      <c r="C71" s="6">
        <v>45231</v>
      </c>
      <c r="P71">
        <v>3</v>
      </c>
      <c r="Q71" s="6">
        <v>45050</v>
      </c>
    </row>
    <row r="72" spans="1:17" x14ac:dyDescent="0.2">
      <c r="A72" s="1" t="s">
        <v>2</v>
      </c>
      <c r="B72" t="s">
        <v>122</v>
      </c>
      <c r="C72" s="6">
        <v>45133</v>
      </c>
      <c r="P72">
        <v>3</v>
      </c>
      <c r="Q72" s="6">
        <v>45231</v>
      </c>
    </row>
    <row r="73" spans="1:17" x14ac:dyDescent="0.2">
      <c r="A73" s="1" t="s">
        <v>3</v>
      </c>
      <c r="B73" t="s">
        <v>123</v>
      </c>
      <c r="C73" s="6">
        <v>44742</v>
      </c>
      <c r="P73">
        <v>3</v>
      </c>
      <c r="Q73" s="6">
        <v>45133</v>
      </c>
    </row>
    <row r="74" spans="1:17" x14ac:dyDescent="0.2">
      <c r="A74" s="1" t="s">
        <v>3</v>
      </c>
      <c r="B74" t="s">
        <v>124</v>
      </c>
      <c r="C74" s="6">
        <v>45154</v>
      </c>
      <c r="P74">
        <v>4</v>
      </c>
      <c r="Q74" s="6">
        <v>44742</v>
      </c>
    </row>
    <row r="75" spans="1:17" x14ac:dyDescent="0.2">
      <c r="A75" s="1" t="s">
        <v>3</v>
      </c>
      <c r="B75" t="s">
        <v>125</v>
      </c>
      <c r="C75" s="6">
        <v>44866</v>
      </c>
      <c r="P75">
        <v>4</v>
      </c>
      <c r="Q75" s="6">
        <v>45154</v>
      </c>
    </row>
    <row r="76" spans="1:17" x14ac:dyDescent="0.2">
      <c r="A76" s="1" t="s">
        <v>3</v>
      </c>
      <c r="B76" t="s">
        <v>126</v>
      </c>
      <c r="C76" s="6">
        <v>44930</v>
      </c>
      <c r="P76">
        <v>4</v>
      </c>
      <c r="Q76" s="6">
        <v>44866</v>
      </c>
    </row>
    <row r="77" spans="1:17" x14ac:dyDescent="0.2">
      <c r="A77" s="1" t="s">
        <v>3</v>
      </c>
      <c r="B77" t="s">
        <v>127</v>
      </c>
      <c r="C77" s="6">
        <v>44965</v>
      </c>
      <c r="P77">
        <v>4</v>
      </c>
      <c r="Q77" s="6">
        <v>44930</v>
      </c>
    </row>
    <row r="78" spans="1:17" x14ac:dyDescent="0.2">
      <c r="A78" s="1" t="s">
        <v>3</v>
      </c>
      <c r="B78" t="s">
        <v>128</v>
      </c>
      <c r="C78" s="6">
        <v>44984</v>
      </c>
      <c r="P78">
        <v>4</v>
      </c>
      <c r="Q78" s="6">
        <v>44965</v>
      </c>
    </row>
    <row r="79" spans="1:17" x14ac:dyDescent="0.2">
      <c r="A79" s="1" t="s">
        <v>3</v>
      </c>
      <c r="B79" t="s">
        <v>129</v>
      </c>
      <c r="C79" s="6">
        <v>45107</v>
      </c>
      <c r="P79">
        <v>4</v>
      </c>
      <c r="Q79" s="6">
        <v>44984</v>
      </c>
    </row>
    <row r="80" spans="1:17" x14ac:dyDescent="0.2">
      <c r="A80" s="1" t="s">
        <v>3</v>
      </c>
      <c r="B80" t="s">
        <v>130</v>
      </c>
      <c r="C80" s="6">
        <v>45133</v>
      </c>
      <c r="P80">
        <v>4</v>
      </c>
      <c r="Q80" s="6">
        <v>45107</v>
      </c>
    </row>
    <row r="81" spans="1:17" x14ac:dyDescent="0.2">
      <c r="A81" s="1" t="s">
        <v>3</v>
      </c>
      <c r="B81" t="s">
        <v>131</v>
      </c>
      <c r="C81" s="6">
        <v>44848</v>
      </c>
      <c r="P81">
        <v>4</v>
      </c>
      <c r="Q81" s="6">
        <v>45133</v>
      </c>
    </row>
    <row r="82" spans="1:17" x14ac:dyDescent="0.2">
      <c r="A82" s="1" t="s">
        <v>3</v>
      </c>
      <c r="B82" t="s">
        <v>132</v>
      </c>
      <c r="C82" s="6">
        <v>44836</v>
      </c>
      <c r="P82">
        <v>4</v>
      </c>
      <c r="Q82" s="6">
        <v>44848</v>
      </c>
    </row>
    <row r="83" spans="1:17" x14ac:dyDescent="0.2">
      <c r="A83" s="1" t="s">
        <v>3</v>
      </c>
      <c r="B83" t="s">
        <v>133</v>
      </c>
      <c r="C83" s="6">
        <v>44862</v>
      </c>
      <c r="P83">
        <v>4</v>
      </c>
      <c r="Q83" s="6">
        <v>44836</v>
      </c>
    </row>
    <row r="84" spans="1:17" x14ac:dyDescent="0.2">
      <c r="A84" s="1" t="s">
        <v>3</v>
      </c>
      <c r="B84" t="s">
        <v>134</v>
      </c>
      <c r="C84" s="6">
        <v>45008</v>
      </c>
      <c r="P84">
        <v>4</v>
      </c>
      <c r="Q84" s="6">
        <v>44862</v>
      </c>
    </row>
    <row r="85" spans="1:17" x14ac:dyDescent="0.2">
      <c r="A85" s="1" t="s">
        <v>3</v>
      </c>
      <c r="B85" t="s">
        <v>135</v>
      </c>
      <c r="C85" s="6">
        <v>44858</v>
      </c>
      <c r="P85">
        <v>4</v>
      </c>
      <c r="Q85" s="6">
        <v>45008</v>
      </c>
    </row>
    <row r="86" spans="1:17" x14ac:dyDescent="0.2">
      <c r="A86" s="1" t="s">
        <v>3</v>
      </c>
      <c r="B86" t="s">
        <v>136</v>
      </c>
      <c r="C86" s="6">
        <v>45072</v>
      </c>
      <c r="P86">
        <v>4</v>
      </c>
      <c r="Q86" s="6">
        <v>44858</v>
      </c>
    </row>
    <row r="87" spans="1:17" x14ac:dyDescent="0.2">
      <c r="A87" s="1" t="s">
        <v>3</v>
      </c>
      <c r="B87" t="s">
        <v>137</v>
      </c>
      <c r="C87" s="6">
        <v>44965</v>
      </c>
      <c r="P87">
        <v>4</v>
      </c>
      <c r="Q87" s="6">
        <v>45072</v>
      </c>
    </row>
    <row r="88" spans="1:17" x14ac:dyDescent="0.2">
      <c r="A88" s="1" t="s">
        <v>3</v>
      </c>
      <c r="B88" t="s">
        <v>138</v>
      </c>
      <c r="C88" s="6">
        <v>45152</v>
      </c>
      <c r="P88">
        <v>4</v>
      </c>
      <c r="Q88" s="6">
        <v>44965</v>
      </c>
    </row>
    <row r="89" spans="1:17" x14ac:dyDescent="0.2">
      <c r="A89" s="1" t="s">
        <v>3</v>
      </c>
      <c r="B89" t="s">
        <v>139</v>
      </c>
      <c r="C89" s="6">
        <v>44862</v>
      </c>
      <c r="P89">
        <v>4</v>
      </c>
      <c r="Q89" s="6">
        <v>45152</v>
      </c>
    </row>
    <row r="90" spans="1:17" x14ac:dyDescent="0.2">
      <c r="A90" s="1" t="s">
        <v>3</v>
      </c>
      <c r="B90" t="s">
        <v>140</v>
      </c>
      <c r="C90" s="6">
        <v>45320</v>
      </c>
      <c r="P90">
        <v>4</v>
      </c>
      <c r="Q90" s="6">
        <v>44862</v>
      </c>
    </row>
    <row r="91" spans="1:17" x14ac:dyDescent="0.2">
      <c r="A91" s="1" t="s">
        <v>3</v>
      </c>
      <c r="B91" t="s">
        <v>141</v>
      </c>
      <c r="C91" s="6">
        <v>45155</v>
      </c>
      <c r="P91">
        <v>4</v>
      </c>
      <c r="Q91" s="6">
        <v>45320</v>
      </c>
    </row>
    <row r="92" spans="1:17" x14ac:dyDescent="0.2">
      <c r="A92" s="1" t="s">
        <v>3</v>
      </c>
      <c r="B92" t="s">
        <v>142</v>
      </c>
      <c r="C92" s="6">
        <v>44869</v>
      </c>
      <c r="P92">
        <v>4</v>
      </c>
      <c r="Q92" s="6">
        <v>45155</v>
      </c>
    </row>
    <row r="93" spans="1:17" x14ac:dyDescent="0.2">
      <c r="A93" s="1" t="s">
        <v>3</v>
      </c>
      <c r="B93" t="s">
        <v>143</v>
      </c>
      <c r="C93" s="6">
        <v>45147</v>
      </c>
      <c r="P93">
        <v>4</v>
      </c>
      <c r="Q93" s="6">
        <v>44869</v>
      </c>
    </row>
    <row r="94" spans="1:17" x14ac:dyDescent="0.2">
      <c r="A94" s="1" t="s">
        <v>3</v>
      </c>
      <c r="B94" t="s">
        <v>144</v>
      </c>
      <c r="C94" s="6">
        <v>45106</v>
      </c>
      <c r="P94">
        <v>4</v>
      </c>
      <c r="Q94" s="6">
        <v>45147</v>
      </c>
    </row>
    <row r="95" spans="1:17" x14ac:dyDescent="0.2">
      <c r="A95" s="1" t="s">
        <v>3</v>
      </c>
      <c r="B95" t="s">
        <v>145</v>
      </c>
      <c r="C95" s="6">
        <v>45093</v>
      </c>
      <c r="P95">
        <v>4</v>
      </c>
      <c r="Q95" s="6">
        <v>45106</v>
      </c>
    </row>
    <row r="96" spans="1:17" x14ac:dyDescent="0.2">
      <c r="A96" s="1" t="s">
        <v>3</v>
      </c>
      <c r="B96" t="s">
        <v>146</v>
      </c>
      <c r="C96" s="6">
        <v>44924</v>
      </c>
      <c r="P96">
        <v>4</v>
      </c>
      <c r="Q96" s="6">
        <v>45093</v>
      </c>
    </row>
    <row r="97" spans="1:17" x14ac:dyDescent="0.2">
      <c r="A97" s="1" t="s">
        <v>3</v>
      </c>
      <c r="B97" t="s">
        <v>147</v>
      </c>
      <c r="C97" s="6">
        <v>44946</v>
      </c>
      <c r="P97">
        <v>4</v>
      </c>
      <c r="Q97" s="6">
        <v>44924</v>
      </c>
    </row>
    <row r="98" spans="1:17" x14ac:dyDescent="0.2">
      <c r="A98" s="1" t="s">
        <v>4</v>
      </c>
      <c r="B98" t="s">
        <v>148</v>
      </c>
      <c r="C98" s="6">
        <v>44722</v>
      </c>
      <c r="P98">
        <v>4</v>
      </c>
      <c r="Q98" s="6">
        <v>44946</v>
      </c>
    </row>
    <row r="99" spans="1:17" x14ac:dyDescent="0.2">
      <c r="A99" s="1" t="s">
        <v>4</v>
      </c>
      <c r="B99" t="s">
        <v>149</v>
      </c>
      <c r="C99" s="6">
        <v>45189</v>
      </c>
      <c r="P99">
        <v>5</v>
      </c>
      <c r="Q99" s="6">
        <v>44722</v>
      </c>
    </row>
    <row r="100" spans="1:17" x14ac:dyDescent="0.2">
      <c r="A100" s="1" t="s">
        <v>4</v>
      </c>
      <c r="B100" t="s">
        <v>150</v>
      </c>
      <c r="C100" s="6">
        <v>44902</v>
      </c>
      <c r="P100">
        <v>5</v>
      </c>
      <c r="Q100" s="6">
        <v>45189</v>
      </c>
    </row>
    <row r="101" spans="1:17" x14ac:dyDescent="0.2">
      <c r="A101" s="1" t="s">
        <v>4</v>
      </c>
      <c r="B101" t="s">
        <v>151</v>
      </c>
      <c r="C101" s="6">
        <v>44944</v>
      </c>
      <c r="P101">
        <v>5</v>
      </c>
      <c r="Q101" s="6">
        <v>44902</v>
      </c>
    </row>
    <row r="102" spans="1:17" x14ac:dyDescent="0.2">
      <c r="A102" s="1" t="s">
        <v>4</v>
      </c>
      <c r="B102" t="s">
        <v>152</v>
      </c>
      <c r="C102" s="6">
        <v>45156</v>
      </c>
      <c r="P102">
        <v>5</v>
      </c>
      <c r="Q102" s="6">
        <v>44944</v>
      </c>
    </row>
    <row r="103" spans="1:17" x14ac:dyDescent="0.2">
      <c r="A103" s="1" t="s">
        <v>4</v>
      </c>
      <c r="B103" t="s">
        <v>153</v>
      </c>
      <c r="C103" s="6">
        <v>44959</v>
      </c>
      <c r="P103">
        <v>5</v>
      </c>
      <c r="Q103" s="6">
        <v>45156</v>
      </c>
    </row>
    <row r="104" spans="1:17" x14ac:dyDescent="0.2">
      <c r="A104" s="1" t="s">
        <v>4</v>
      </c>
      <c r="B104" t="s">
        <v>154</v>
      </c>
      <c r="C104" s="6">
        <v>44936</v>
      </c>
      <c r="P104">
        <v>5</v>
      </c>
      <c r="Q104" s="6">
        <v>44959</v>
      </c>
    </row>
    <row r="105" spans="1:17" x14ac:dyDescent="0.2">
      <c r="A105" s="1" t="s">
        <v>4</v>
      </c>
      <c r="B105" t="s">
        <v>155</v>
      </c>
      <c r="C105" s="6">
        <v>45219</v>
      </c>
      <c r="P105">
        <v>5</v>
      </c>
      <c r="Q105" s="6">
        <v>44936</v>
      </c>
    </row>
    <row r="106" spans="1:17" x14ac:dyDescent="0.2">
      <c r="A106" s="1" t="s">
        <v>4</v>
      </c>
      <c r="B106" t="s">
        <v>156</v>
      </c>
      <c r="C106" s="6">
        <v>45220</v>
      </c>
      <c r="P106">
        <v>5</v>
      </c>
      <c r="Q106" s="6">
        <v>45219</v>
      </c>
    </row>
    <row r="107" spans="1:17" x14ac:dyDescent="0.2">
      <c r="A107" s="1" t="s">
        <v>4</v>
      </c>
      <c r="B107" t="s">
        <v>157</v>
      </c>
      <c r="C107" s="6">
        <v>44853</v>
      </c>
      <c r="P107">
        <v>5</v>
      </c>
      <c r="Q107" s="6">
        <v>45220</v>
      </c>
    </row>
    <row r="108" spans="1:17" x14ac:dyDescent="0.2">
      <c r="A108" s="1" t="s">
        <v>4</v>
      </c>
      <c r="B108" t="s">
        <v>158</v>
      </c>
      <c r="C108" s="6">
        <v>44935</v>
      </c>
      <c r="P108">
        <v>5</v>
      </c>
      <c r="Q108" s="6">
        <v>44853</v>
      </c>
    </row>
    <row r="109" spans="1:17" x14ac:dyDescent="0.2">
      <c r="A109" s="1" t="s">
        <v>4</v>
      </c>
      <c r="B109" t="s">
        <v>159</v>
      </c>
      <c r="C109" s="6">
        <v>44907</v>
      </c>
      <c r="P109">
        <v>5</v>
      </c>
      <c r="Q109" s="6">
        <v>44935</v>
      </c>
    </row>
    <row r="110" spans="1:17" x14ac:dyDescent="0.2">
      <c r="A110" s="1" t="s">
        <v>4</v>
      </c>
      <c r="B110" t="s">
        <v>160</v>
      </c>
      <c r="C110" s="6">
        <v>44771</v>
      </c>
      <c r="P110">
        <v>5</v>
      </c>
      <c r="Q110" s="6">
        <v>44907</v>
      </c>
    </row>
    <row r="111" spans="1:17" x14ac:dyDescent="0.2">
      <c r="A111" s="1" t="s">
        <v>4</v>
      </c>
      <c r="B111" t="s">
        <v>161</v>
      </c>
      <c r="C111" s="6">
        <v>44833</v>
      </c>
      <c r="P111">
        <v>5</v>
      </c>
      <c r="Q111" s="6">
        <v>44771</v>
      </c>
    </row>
    <row r="112" spans="1:17" x14ac:dyDescent="0.2">
      <c r="A112" s="1" t="s">
        <v>4</v>
      </c>
      <c r="B112" t="s">
        <v>162</v>
      </c>
      <c r="C112" s="6">
        <v>45072</v>
      </c>
      <c r="P112">
        <v>5</v>
      </c>
      <c r="Q112" s="6">
        <v>44833</v>
      </c>
    </row>
    <row r="113" spans="1:17" x14ac:dyDescent="0.2">
      <c r="A113" s="1" t="s">
        <v>4</v>
      </c>
      <c r="B113" t="s">
        <v>163</v>
      </c>
      <c r="C113" s="6">
        <v>44981</v>
      </c>
      <c r="P113">
        <v>5</v>
      </c>
      <c r="Q113" s="6">
        <v>45072</v>
      </c>
    </row>
    <row r="114" spans="1:17" x14ac:dyDescent="0.2">
      <c r="A114" s="1" t="s">
        <v>4</v>
      </c>
      <c r="B114" t="s">
        <v>165</v>
      </c>
      <c r="C114" s="6">
        <v>44900</v>
      </c>
      <c r="P114">
        <v>5</v>
      </c>
      <c r="Q114" s="6">
        <v>44981</v>
      </c>
    </row>
    <row r="115" spans="1:17" x14ac:dyDescent="0.2">
      <c r="A115" s="1" t="s">
        <v>4</v>
      </c>
      <c r="B115" t="s">
        <v>164</v>
      </c>
      <c r="C115" s="6">
        <v>44722</v>
      </c>
      <c r="P115">
        <v>5</v>
      </c>
      <c r="Q115" s="6">
        <v>44900</v>
      </c>
    </row>
    <row r="116" spans="1:17" x14ac:dyDescent="0.2">
      <c r="A116" s="1" t="s">
        <v>4</v>
      </c>
      <c r="B116" t="s">
        <v>166</v>
      </c>
      <c r="C116" s="6">
        <v>45166</v>
      </c>
      <c r="P116">
        <v>5</v>
      </c>
      <c r="Q116" s="6">
        <v>44722</v>
      </c>
    </row>
    <row r="117" spans="1:17" x14ac:dyDescent="0.2">
      <c r="A117" s="1" t="s">
        <v>4</v>
      </c>
      <c r="B117" t="s">
        <v>167</v>
      </c>
      <c r="C117" s="6">
        <v>45126</v>
      </c>
      <c r="P117">
        <v>5</v>
      </c>
      <c r="Q117" s="6">
        <v>45166</v>
      </c>
    </row>
    <row r="118" spans="1:17" x14ac:dyDescent="0.2">
      <c r="A118" s="1" t="s">
        <v>4</v>
      </c>
      <c r="B118" t="s">
        <v>168</v>
      </c>
      <c r="C118" s="6">
        <v>45117</v>
      </c>
      <c r="P118">
        <v>5</v>
      </c>
      <c r="Q118" s="6">
        <v>45126</v>
      </c>
    </row>
    <row r="119" spans="1:17" x14ac:dyDescent="0.2">
      <c r="A119" s="1" t="s">
        <v>4</v>
      </c>
      <c r="B119" t="s">
        <v>169</v>
      </c>
      <c r="C119" s="6">
        <v>45007</v>
      </c>
      <c r="P119">
        <v>5</v>
      </c>
      <c r="Q119" s="6">
        <v>45117</v>
      </c>
    </row>
    <row r="120" spans="1:17" x14ac:dyDescent="0.2">
      <c r="A120" s="1" t="s">
        <v>4</v>
      </c>
      <c r="B120" t="s">
        <v>170</v>
      </c>
      <c r="C120" s="6">
        <v>45034</v>
      </c>
      <c r="P120">
        <v>5</v>
      </c>
      <c r="Q120" s="6">
        <v>45007</v>
      </c>
    </row>
    <row r="121" spans="1:17" x14ac:dyDescent="0.2">
      <c r="A121" s="1" t="s">
        <v>4</v>
      </c>
      <c r="B121" t="s">
        <v>171</v>
      </c>
      <c r="C121" s="6">
        <v>45076</v>
      </c>
      <c r="P121">
        <v>5</v>
      </c>
      <c r="Q121" s="6">
        <v>45034</v>
      </c>
    </row>
    <row r="122" spans="1:17" x14ac:dyDescent="0.2">
      <c r="A122" s="1" t="s">
        <v>4</v>
      </c>
      <c r="B122" t="s">
        <v>172</v>
      </c>
      <c r="C122" s="6">
        <v>44876</v>
      </c>
      <c r="P122">
        <v>5</v>
      </c>
      <c r="Q122" s="6">
        <v>45076</v>
      </c>
    </row>
    <row r="123" spans="1:17" x14ac:dyDescent="0.2">
      <c r="A123" s="1" t="s">
        <v>4</v>
      </c>
      <c r="B123" t="s">
        <v>173</v>
      </c>
      <c r="C123" s="6">
        <v>44979</v>
      </c>
      <c r="P123">
        <v>5</v>
      </c>
      <c r="Q123" s="6">
        <v>44876</v>
      </c>
    </row>
    <row r="124" spans="1:17" x14ac:dyDescent="0.2">
      <c r="A124" s="1" t="s">
        <v>5</v>
      </c>
      <c r="B124" t="s">
        <v>174</v>
      </c>
      <c r="C124" s="6">
        <v>44579</v>
      </c>
      <c r="P124">
        <v>5</v>
      </c>
      <c r="Q124" s="6">
        <v>44979</v>
      </c>
    </row>
    <row r="125" spans="1:17" x14ac:dyDescent="0.2">
      <c r="A125" s="1" t="s">
        <v>5</v>
      </c>
      <c r="B125" t="s">
        <v>175</v>
      </c>
      <c r="C125" s="6">
        <v>44842</v>
      </c>
      <c r="P125">
        <v>6</v>
      </c>
      <c r="Q125" s="6">
        <v>44579</v>
      </c>
    </row>
    <row r="126" spans="1:17" x14ac:dyDescent="0.2">
      <c r="A126" s="1" t="s">
        <v>5</v>
      </c>
      <c r="B126" t="s">
        <v>176</v>
      </c>
      <c r="C126" s="6">
        <v>44624</v>
      </c>
      <c r="P126">
        <v>6</v>
      </c>
      <c r="Q126" s="6">
        <v>44842</v>
      </c>
    </row>
    <row r="127" spans="1:17" x14ac:dyDescent="0.2">
      <c r="A127" s="1" t="s">
        <v>5</v>
      </c>
      <c r="B127" t="s">
        <v>177</v>
      </c>
      <c r="C127" s="6">
        <v>44704</v>
      </c>
      <c r="P127">
        <v>6</v>
      </c>
      <c r="Q127" s="6">
        <v>44624</v>
      </c>
    </row>
    <row r="128" spans="1:17" x14ac:dyDescent="0.2">
      <c r="A128" s="1" t="s">
        <v>5</v>
      </c>
      <c r="B128" t="s">
        <v>178</v>
      </c>
      <c r="C128" s="6">
        <v>44704</v>
      </c>
      <c r="P128">
        <v>6</v>
      </c>
      <c r="Q128" s="6">
        <v>44704</v>
      </c>
    </row>
    <row r="129" spans="1:17" x14ac:dyDescent="0.2">
      <c r="A129" s="1" t="s">
        <v>5</v>
      </c>
      <c r="B129" t="s">
        <v>179</v>
      </c>
      <c r="C129" s="6">
        <v>44718</v>
      </c>
      <c r="P129">
        <v>6</v>
      </c>
      <c r="Q129" s="6">
        <v>44704</v>
      </c>
    </row>
    <row r="130" spans="1:17" x14ac:dyDescent="0.2">
      <c r="A130" s="1" t="s">
        <v>5</v>
      </c>
      <c r="B130" t="s">
        <v>180</v>
      </c>
      <c r="C130" s="6">
        <v>44764</v>
      </c>
      <c r="P130">
        <v>6</v>
      </c>
      <c r="Q130" s="6">
        <v>44718</v>
      </c>
    </row>
    <row r="131" spans="1:17" x14ac:dyDescent="0.2">
      <c r="A131" s="1" t="s">
        <v>5</v>
      </c>
      <c r="B131" t="s">
        <v>181</v>
      </c>
      <c r="C131" s="6">
        <v>44883</v>
      </c>
      <c r="P131">
        <v>6</v>
      </c>
      <c r="Q131" s="6">
        <v>44764</v>
      </c>
    </row>
    <row r="132" spans="1:17" x14ac:dyDescent="0.2">
      <c r="A132" s="1" t="s">
        <v>5</v>
      </c>
      <c r="B132" t="s">
        <v>182</v>
      </c>
      <c r="C132" s="6">
        <v>45037</v>
      </c>
      <c r="P132">
        <v>6</v>
      </c>
      <c r="Q132" s="6">
        <v>44883</v>
      </c>
    </row>
    <row r="133" spans="1:17" x14ac:dyDescent="0.2">
      <c r="A133" s="1" t="s">
        <v>5</v>
      </c>
      <c r="B133" t="s">
        <v>183</v>
      </c>
      <c r="C133" s="6">
        <v>44954</v>
      </c>
      <c r="P133">
        <v>6</v>
      </c>
      <c r="Q133" s="6">
        <v>45037</v>
      </c>
    </row>
    <row r="134" spans="1:17" x14ac:dyDescent="0.2">
      <c r="P134">
        <v>6</v>
      </c>
      <c r="Q134" s="6">
        <v>44954</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分布</vt:lpstr>
      <vt:lpstr>Sheet2</vt:lpstr>
      <vt:lpstr>总表</vt:lpstr>
      <vt:lpstr>碳达峰（总）</vt:lpstr>
      <vt:lpstr>新发展理念</vt:lpstr>
      <vt:lpstr>工业领域</vt:lpstr>
      <vt:lpstr>城乡建设领域</vt:lpstr>
      <vt:lpstr>减污降碳</vt:lpstr>
      <vt:lpstr>绿色消费</vt:lpstr>
      <vt:lpstr>绿色低碳循环发展</vt:lpstr>
      <vt:lpstr>绿色低碳转型</vt:lpstr>
      <vt:lpstr>有色金属</vt:lpstr>
      <vt:lpstr>建材行业</vt:lpstr>
      <vt:lpstr>标准计量</vt:lpstr>
      <vt:lpstr>财政支持</vt:lpstr>
      <vt:lpstr>其他文献</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超涵 章</dc:creator>
  <cp:lastModifiedBy>超涵 章</cp:lastModifiedBy>
  <dcterms:created xsi:type="dcterms:W3CDTF">2025-08-19T07:49:52Z</dcterms:created>
  <dcterms:modified xsi:type="dcterms:W3CDTF">2026-03-24T11:18:28Z</dcterms:modified>
</cp:coreProperties>
</file>