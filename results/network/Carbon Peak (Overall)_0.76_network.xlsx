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network\"/>
    </mc:Choice>
  </mc:AlternateContent>
  <xr:revisionPtr revIDLastSave="0" documentId="13_ncr:1_{38D06A12-FBA3-4A05-99A6-D71BD15FF9EC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binary_matrix" sheetId="1" r:id="rId1"/>
    <sheet name="Sheet1" sheetId="4" r:id="rId2"/>
    <sheet name="Sheet2" sheetId="5" r:id="rId3"/>
    <sheet name="direct_sim_converted" sheetId="2" r:id="rId4"/>
    <sheet name="direct_deg_converted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5" l="1"/>
  <c r="E33" i="5"/>
  <c r="E34" i="5"/>
  <c r="E35" i="5"/>
  <c r="E36" i="5"/>
  <c r="E37" i="5"/>
  <c r="E38" i="5"/>
  <c r="E31" i="5"/>
  <c r="D35" i="5"/>
  <c r="D34" i="5"/>
  <c r="D33" i="5"/>
  <c r="D32" i="5"/>
  <c r="D31" i="5"/>
  <c r="D38" i="5"/>
  <c r="D37" i="5"/>
  <c r="D36" i="5"/>
  <c r="C40" i="4"/>
  <c r="C39" i="4"/>
  <c r="C38" i="4"/>
  <c r="C37" i="4"/>
  <c r="C36" i="4"/>
  <c r="C35" i="4"/>
  <c r="C34" i="4"/>
  <c r="C33" i="4"/>
  <c r="D34" i="4" l="1"/>
  <c r="D33" i="4"/>
  <c r="D40" i="4"/>
  <c r="D39" i="4"/>
  <c r="D38" i="4"/>
  <c r="D37" i="4"/>
  <c r="D36" i="4"/>
  <c r="D35" i="4"/>
</calcChain>
</file>

<file path=xl/sharedStrings.xml><?xml version="1.0" encoding="utf-8"?>
<sst xmlns="http://schemas.openxmlformats.org/spreadsheetml/2006/main" count="66" uniqueCount="38">
  <si>
    <t>-2,-1.5</t>
    <phoneticPr fontId="2" type="noConversion"/>
  </si>
  <si>
    <t>-1.5,-1</t>
    <phoneticPr fontId="2" type="noConversion"/>
  </si>
  <si>
    <t>-1,-0.5</t>
    <phoneticPr fontId="2" type="noConversion"/>
  </si>
  <si>
    <t>-0.5,0</t>
    <phoneticPr fontId="2" type="noConversion"/>
  </si>
  <si>
    <t>0,0.5</t>
    <phoneticPr fontId="2" type="noConversion"/>
  </si>
  <si>
    <t>0.5,1</t>
    <phoneticPr fontId="2" type="noConversion"/>
  </si>
  <si>
    <t>1,1.5</t>
    <phoneticPr fontId="2" type="noConversion"/>
  </si>
  <si>
    <t>1.5,2</t>
    <phoneticPr fontId="2" type="noConversion"/>
  </si>
  <si>
    <t>0.5,0.6</t>
    <phoneticPr fontId="2" type="noConversion"/>
  </si>
  <si>
    <t>0.6,0.7</t>
    <phoneticPr fontId="2" type="noConversion"/>
  </si>
  <si>
    <t>0.7,0.8</t>
    <phoneticPr fontId="2" type="noConversion"/>
  </si>
  <si>
    <t>0.8,0.9</t>
    <phoneticPr fontId="2" type="noConversion"/>
  </si>
  <si>
    <t>0.9,1</t>
    <phoneticPr fontId="2" type="noConversion"/>
  </si>
  <si>
    <t>2030年前碳达峰行动方案.docx</t>
  </si>
  <si>
    <t>上海市碳达峰实施方案.docx</t>
  </si>
  <si>
    <t>云南省碳达峰实施方案.docx</t>
  </si>
  <si>
    <t>内蒙古自治区碳达峰实施方案.docx</t>
  </si>
  <si>
    <t>北京市碳达峰实施方案.docx</t>
  </si>
  <si>
    <t>吉林省碳达峰实施方案.docx</t>
  </si>
  <si>
    <t>四川省碳达峰实施方案.docx</t>
  </si>
  <si>
    <t>天津市碳达峰实施方案.docx</t>
  </si>
  <si>
    <t>宁夏回族自治区碳达峰实施方案.docx</t>
  </si>
  <si>
    <t>安徽省碳达峰实施方案.docx</t>
  </si>
  <si>
    <t>山东省碳达峰实施方案.docx</t>
  </si>
  <si>
    <t>山西省碳达峰实施方案.docx</t>
  </si>
  <si>
    <t>广东省碳达峰实施方案.docx</t>
  </si>
  <si>
    <t>广西壮族自治区碳达峰实施方案.docx</t>
  </si>
  <si>
    <t>江苏省碳达峰实施方案.docx</t>
  </si>
  <si>
    <t>江西省碳达峰实施方案.docx</t>
  </si>
  <si>
    <t>河北省碳达峰实施方案.docx</t>
  </si>
  <si>
    <t>河南省碳达峰实施方案.docx</t>
  </si>
  <si>
    <t>海南省碳达峰实施方案.docx</t>
  </si>
  <si>
    <t>湖南省碳达峰实施方案.docx</t>
  </si>
  <si>
    <t>甘肃省碳达峰实施方案.docx</t>
  </si>
  <si>
    <t>贵州省碳达峰实施方案.docx</t>
  </si>
  <si>
    <t>辽宁省碳达峰实施方案.docx</t>
  </si>
  <si>
    <t>陕西省碳达峰实施方案.docx</t>
  </si>
  <si>
    <t>青海省碳达峰实施方案.docx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</si>
</sst>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Sheet1!$B$33:$B$40</c:f>
              <c:strCache>
                <c:ptCount val="8"/>
                <c:pt idx="0">
                  <c:v>-2,-1.5</c:v>
                </c:pt>
                <c:pt idx="1">
                  <c:v>-1.5,-1</c:v>
                </c:pt>
                <c:pt idx="2">
                  <c:v>-1,-0.5</c:v>
                </c:pt>
                <c:pt idx="3">
                  <c:v>-0.5,0</c:v>
                </c:pt>
                <c:pt idx="4">
                  <c:v>0,0.5</c:v>
                </c:pt>
                <c:pt idx="5">
                  <c:v>0.5,1</c:v>
                </c:pt>
                <c:pt idx="6">
                  <c:v>1,1.5</c:v>
                </c:pt>
                <c:pt idx="7">
                  <c:v>1.5,2</c:v>
                </c:pt>
              </c:strCache>
            </c:strRef>
          </c:cat>
          <c:val>
            <c:numRef>
              <c:f>Sheet1!$C$33:$C$40</c:f>
              <c:numCache>
                <c:formatCode>General</c:formatCode>
                <c:ptCount val="8"/>
                <c:pt idx="0">
                  <c:v>0</c:v>
                </c:pt>
                <c:pt idx="1">
                  <c:v>1.3377926421404682E-2</c:v>
                </c:pt>
                <c:pt idx="2">
                  <c:v>5.016722408026756E-2</c:v>
                </c:pt>
                <c:pt idx="3">
                  <c:v>0.17725752508361203</c:v>
                </c:pt>
                <c:pt idx="4">
                  <c:v>0.33110367892976589</c:v>
                </c:pt>
                <c:pt idx="5">
                  <c:v>0.33779264214046822</c:v>
                </c:pt>
                <c:pt idx="6">
                  <c:v>8.6956521739130432E-2</c:v>
                </c:pt>
                <c:pt idx="7">
                  <c:v>3.3444816053511705E-3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D-4A12-8F29-BBA96E942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14404735"/>
        <c:axId val="1114405695"/>
      </c:barChart>
      <c:lineChart>
        <c:grouping val="standard"/>
        <c:varyColors val="0"/>
        <c:ser>
          <c:idx val="1"/>
          <c:order val="1"/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Sheet1!$D$33:$D$40</c:f>
              <c:numCache>
                <c:formatCode>General</c:formatCode>
                <c:ptCount val="8"/>
                <c:pt idx="0">
                  <c:v>0</c:v>
                </c:pt>
                <c:pt idx="1">
                  <c:v>1.3377926421404682E-2</c:v>
                </c:pt>
                <c:pt idx="2">
                  <c:v>6.354515050167224E-2</c:v>
                </c:pt>
                <c:pt idx="3">
                  <c:v>0.24080267558528429</c:v>
                </c:pt>
                <c:pt idx="4">
                  <c:v>0.57190635451505023</c:v>
                </c:pt>
                <c:pt idx="5">
                  <c:v>0.90969899665551845</c:v>
                </c:pt>
                <c:pt idx="6">
                  <c:v>0.99665551839464883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7D-4A12-8F29-BBA96E942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537551"/>
        <c:axId val="1062526991"/>
      </c:lineChart>
      <c:catAx>
        <c:axId val="111440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4405695"/>
        <c:crosses val="autoZero"/>
        <c:auto val="1"/>
        <c:lblAlgn val="ctr"/>
        <c:lblOffset val="100"/>
        <c:noMultiLvlLbl val="0"/>
      </c:catAx>
      <c:valAx>
        <c:axId val="11144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4404735"/>
        <c:crosses val="autoZero"/>
        <c:crossBetween val="between"/>
        <c:majorUnit val="0.1"/>
        <c:minorUnit val="5.000000000000001E-2"/>
      </c:valAx>
      <c:valAx>
        <c:axId val="1062526991"/>
        <c:scaling>
          <c:orientation val="minMax"/>
          <c:max val="1.0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537551"/>
        <c:crosses val="max"/>
        <c:crossBetween val="between"/>
        <c:majorUnit val="0.2"/>
      </c:valAx>
      <c:catAx>
        <c:axId val="10625375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62526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Sheet2!$C$31:$C$35</c:f>
              <c:strCache>
                <c:ptCount val="5"/>
                <c:pt idx="0">
                  <c:v>0.5,0.6</c:v>
                </c:pt>
                <c:pt idx="1">
                  <c:v>0.6,0.7</c:v>
                </c:pt>
                <c:pt idx="2">
                  <c:v>0.7,0.8</c:v>
                </c:pt>
                <c:pt idx="3">
                  <c:v>0.8,0.9</c:v>
                </c:pt>
                <c:pt idx="4">
                  <c:v>0.9,1</c:v>
                </c:pt>
              </c:strCache>
            </c:strRef>
          </c:cat>
          <c:val>
            <c:numRef>
              <c:f>Sheet2!$D$31:$D$35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0.31666666666666665</c:v>
                </c:pt>
                <c:pt idx="3">
                  <c:v>0.68</c:v>
                </c:pt>
                <c:pt idx="4">
                  <c:v>3.3333333333333335E-3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2-4723-B191-0AF94ECF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14404735"/>
        <c:axId val="1114405695"/>
      </c:barChart>
      <c:lineChart>
        <c:grouping val="standard"/>
        <c:varyColors val="0"/>
        <c:ser>
          <c:idx val="1"/>
          <c:order val="1"/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Sheet2!$C$31:$C$35</c:f>
              <c:strCache>
                <c:ptCount val="5"/>
                <c:pt idx="0">
                  <c:v>0.5,0.6</c:v>
                </c:pt>
                <c:pt idx="1">
                  <c:v>0.6,0.7</c:v>
                </c:pt>
                <c:pt idx="2">
                  <c:v>0.7,0.8</c:v>
                </c:pt>
                <c:pt idx="3">
                  <c:v>0.8,0.9</c:v>
                </c:pt>
                <c:pt idx="4">
                  <c:v>0.9,1</c:v>
                </c:pt>
              </c:strCache>
            </c:strRef>
          </c:cat>
          <c:val>
            <c:numRef>
              <c:f>Sheet2!$E$31:$E$35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0.31666666666666665</c:v>
                </c:pt>
                <c:pt idx="3">
                  <c:v>0.9966666666666667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2-4723-B191-0AF94ECF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537551"/>
        <c:axId val="1062526991"/>
      </c:lineChart>
      <c:catAx>
        <c:axId val="111440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4405695"/>
        <c:crosses val="autoZero"/>
        <c:auto val="1"/>
        <c:lblAlgn val="ctr"/>
        <c:lblOffset val="100"/>
        <c:noMultiLvlLbl val="0"/>
      </c:catAx>
      <c:valAx>
        <c:axId val="11144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4404735"/>
        <c:crosses val="autoZero"/>
        <c:crossBetween val="between"/>
        <c:majorUnit val="0.1"/>
        <c:minorUnit val="5.000000000000001E-2"/>
      </c:valAx>
      <c:valAx>
        <c:axId val="1062526991"/>
        <c:scaling>
          <c:orientation val="minMax"/>
          <c:max val="1.0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537551"/>
        <c:crosses val="max"/>
        <c:crossBetween val="between"/>
        <c:majorUnit val="0.2"/>
      </c:valAx>
      <c:catAx>
        <c:axId val="1062537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2526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29</xdr:row>
      <xdr:rowOff>0</xdr:rowOff>
    </xdr:from>
    <xdr:to>
      <xdr:col>14</xdr:col>
      <xdr:colOff>205740</xdr:colOff>
      <xdr:row>38</xdr:row>
      <xdr:rowOff>45720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B504292-D493-F859-70BF-062069880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29</xdr:row>
      <xdr:rowOff>0</xdr:rowOff>
    </xdr:from>
    <xdr:to>
      <xdr:col>15</xdr:col>
      <xdr:colOff>358140</xdr:colOff>
      <xdr:row>38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68D03C0-2A1F-4642-B413-AE05D2A2D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workbookViewId="0">
      <selection activeCell="G26" sqref="A1:Z26"/>
    </sheetView>
  </sheetViews>
  <sheetFormatPr defaultRowHeight="14.4" x14ac:dyDescent="0.25"/>
  <sheetData>
    <row r="1" spans="1:26" x14ac:dyDescent="0.25">
      <c r="B1" s="1">
        <v>0</v>
      </c>
      <c r="C1" s="1">
        <v>9</v>
      </c>
      <c r="D1" s="1">
        <v>25</v>
      </c>
      <c r="E1" s="1">
        <v>5</v>
      </c>
      <c r="F1" s="1">
        <v>1</v>
      </c>
      <c r="G1" s="1">
        <v>7</v>
      </c>
      <c r="H1" s="1">
        <v>23</v>
      </c>
      <c r="I1" s="1">
        <v>2</v>
      </c>
      <c r="J1" s="1">
        <v>30</v>
      </c>
      <c r="K1" s="1">
        <v>12</v>
      </c>
      <c r="L1" s="1">
        <v>15</v>
      </c>
      <c r="M1" s="1">
        <v>4</v>
      </c>
      <c r="N1" s="1">
        <v>19</v>
      </c>
      <c r="O1" s="1">
        <v>20</v>
      </c>
      <c r="P1" s="1">
        <v>10</v>
      </c>
      <c r="Q1" s="1">
        <v>14</v>
      </c>
      <c r="R1" s="1">
        <v>3</v>
      </c>
      <c r="S1" s="1">
        <v>16</v>
      </c>
      <c r="T1" s="1">
        <v>21</v>
      </c>
      <c r="U1" s="1">
        <v>18</v>
      </c>
      <c r="V1" s="1">
        <v>28</v>
      </c>
      <c r="W1" s="1">
        <v>24</v>
      </c>
      <c r="X1" s="1">
        <v>6</v>
      </c>
      <c r="Y1" s="1">
        <v>27</v>
      </c>
      <c r="Z1" s="1">
        <v>29</v>
      </c>
    </row>
    <row r="2" spans="1:26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s="1">
        <v>9</v>
      </c>
      <c r="B3">
        <v>0.35650887573964501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0.46621621621621617</v>
      </c>
      <c r="O3">
        <v>0</v>
      </c>
      <c r="P3">
        <v>0</v>
      </c>
      <c r="Q3">
        <v>0</v>
      </c>
      <c r="R3">
        <v>0.49375000000000002</v>
      </c>
      <c r="S3">
        <v>0</v>
      </c>
      <c r="T3">
        <v>0</v>
      </c>
      <c r="U3">
        <v>0</v>
      </c>
      <c r="V3">
        <v>-2.9239766081871339E-3</v>
      </c>
      <c r="W3">
        <v>0</v>
      </c>
      <c r="X3">
        <v>0</v>
      </c>
      <c r="Y3">
        <v>0</v>
      </c>
      <c r="Z3">
        <v>0</v>
      </c>
    </row>
    <row r="4" spans="1:26" x14ac:dyDescent="0.25">
      <c r="A4" s="1">
        <v>25</v>
      </c>
      <c r="B4">
        <v>0.86538461538461542</v>
      </c>
      <c r="C4">
        <v>0.50250626566416046</v>
      </c>
      <c r="D4">
        <v>0</v>
      </c>
      <c r="E4">
        <v>0</v>
      </c>
      <c r="F4">
        <v>0</v>
      </c>
      <c r="G4">
        <v>1.12536443148688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0.73513513513513518</v>
      </c>
      <c r="O4">
        <v>0</v>
      </c>
      <c r="P4">
        <v>0</v>
      </c>
      <c r="Q4">
        <v>1.038461538461539</v>
      </c>
      <c r="R4">
        <v>0.87343749999999998</v>
      </c>
      <c r="S4">
        <v>0</v>
      </c>
      <c r="T4">
        <v>0</v>
      </c>
      <c r="U4">
        <v>0</v>
      </c>
      <c r="V4">
        <v>0.2982456140350877</v>
      </c>
      <c r="W4">
        <v>0</v>
      </c>
      <c r="X4">
        <v>0</v>
      </c>
      <c r="Y4">
        <v>1.124203821656051</v>
      </c>
      <c r="Z4">
        <v>0</v>
      </c>
    </row>
    <row r="5" spans="1:26" x14ac:dyDescent="0.25">
      <c r="A5" s="1">
        <v>5</v>
      </c>
      <c r="B5">
        <v>-0.73816568047337283</v>
      </c>
      <c r="C5">
        <v>-0.79949874686716793</v>
      </c>
      <c r="D5">
        <v>-1.1375661375661379</v>
      </c>
      <c r="E5">
        <v>0</v>
      </c>
      <c r="F5">
        <v>-0.30882352941176472</v>
      </c>
      <c r="G5">
        <v>-0.28862973760932947</v>
      </c>
      <c r="H5">
        <v>0</v>
      </c>
      <c r="I5">
        <v>-0.53260869565217395</v>
      </c>
      <c r="J5">
        <v>-0.77763157894736845</v>
      </c>
      <c r="K5">
        <v>-0.52959501557632394</v>
      </c>
      <c r="L5">
        <v>0</v>
      </c>
      <c r="M5">
        <v>0</v>
      </c>
      <c r="N5">
        <v>-0.58243243243243248</v>
      </c>
      <c r="O5">
        <v>0</v>
      </c>
      <c r="P5">
        <v>-0.73611111111111116</v>
      </c>
      <c r="Q5">
        <v>-0.52179487179487183</v>
      </c>
      <c r="R5">
        <v>-0.4921875</v>
      </c>
      <c r="S5">
        <v>0</v>
      </c>
      <c r="T5">
        <v>0</v>
      </c>
      <c r="U5">
        <v>-0.199438202247191</v>
      </c>
      <c r="V5">
        <v>-1.445906432748538</v>
      </c>
      <c r="W5">
        <v>-1.227611940298508</v>
      </c>
      <c r="X5">
        <v>-1.061188811188811</v>
      </c>
      <c r="Y5">
        <v>-0.55414012738853502</v>
      </c>
      <c r="Z5">
        <v>0</v>
      </c>
    </row>
    <row r="6" spans="1:26" x14ac:dyDescent="0.25">
      <c r="A6" s="1">
        <v>1</v>
      </c>
      <c r="B6">
        <v>0.59911242603550297</v>
      </c>
      <c r="C6">
        <v>-7.8947368421052627E-2</v>
      </c>
      <c r="D6">
        <v>-3.439153439153439E-2</v>
      </c>
      <c r="E6">
        <v>0</v>
      </c>
      <c r="F6">
        <v>0</v>
      </c>
      <c r="G6">
        <v>0.64868804664723034</v>
      </c>
      <c r="H6">
        <v>0</v>
      </c>
      <c r="I6">
        <v>0.42028985507246369</v>
      </c>
      <c r="J6">
        <v>0.14605263157894741</v>
      </c>
      <c r="K6">
        <v>0</v>
      </c>
      <c r="L6">
        <v>0</v>
      </c>
      <c r="M6">
        <v>0</v>
      </c>
      <c r="N6">
        <v>0</v>
      </c>
      <c r="O6">
        <v>0</v>
      </c>
      <c r="P6">
        <v>0.1545138888888889</v>
      </c>
      <c r="Q6">
        <v>0.41025641025641019</v>
      </c>
      <c r="R6">
        <v>0</v>
      </c>
      <c r="S6">
        <v>0</v>
      </c>
      <c r="T6">
        <v>0</v>
      </c>
      <c r="U6">
        <v>0</v>
      </c>
      <c r="V6">
        <v>-8.6257309941520463E-2</v>
      </c>
      <c r="W6">
        <v>0</v>
      </c>
      <c r="X6">
        <v>0</v>
      </c>
      <c r="Y6">
        <v>0</v>
      </c>
      <c r="Z6">
        <v>0</v>
      </c>
    </row>
    <row r="7" spans="1:26" x14ac:dyDescent="0.25">
      <c r="A7" s="1">
        <v>7</v>
      </c>
      <c r="B7">
        <v>0.25443786982248517</v>
      </c>
      <c r="C7">
        <v>-0.29197994987468667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0.1851351351351351</v>
      </c>
      <c r="O7">
        <v>0</v>
      </c>
      <c r="P7">
        <v>0</v>
      </c>
      <c r="Q7">
        <v>5.5128205128205127E-2</v>
      </c>
      <c r="R7">
        <v>0.17812500000000001</v>
      </c>
      <c r="S7">
        <v>0</v>
      </c>
      <c r="T7">
        <v>0</v>
      </c>
      <c r="U7">
        <v>0</v>
      </c>
      <c r="V7">
        <v>-0.54532163742690054</v>
      </c>
      <c r="W7">
        <v>0</v>
      </c>
      <c r="X7">
        <v>0</v>
      </c>
      <c r="Y7">
        <v>0</v>
      </c>
      <c r="Z7">
        <v>0</v>
      </c>
    </row>
    <row r="8" spans="1:26" x14ac:dyDescent="0.25">
      <c r="A8" s="1">
        <v>23</v>
      </c>
      <c r="B8">
        <v>0.52662721893491127</v>
      </c>
      <c r="C8">
        <v>0.24060150375939851</v>
      </c>
      <c r="D8">
        <v>0.1058201058201058</v>
      </c>
      <c r="E8">
        <v>1.119672131147541</v>
      </c>
      <c r="F8">
        <v>1.3161764705882351</v>
      </c>
      <c r="G8">
        <v>0.83819241982507287</v>
      </c>
      <c r="H8">
        <v>0</v>
      </c>
      <c r="I8">
        <v>0.42028985507246369</v>
      </c>
      <c r="J8">
        <v>1.3644736842105261</v>
      </c>
      <c r="K8">
        <v>0.63084112149532712</v>
      </c>
      <c r="L8">
        <v>1.46319018404908</v>
      </c>
      <c r="M8">
        <v>0</v>
      </c>
      <c r="N8">
        <v>0.47837837837837838</v>
      </c>
      <c r="O8">
        <v>0.1396396396396396</v>
      </c>
      <c r="P8">
        <v>0.89409722222222221</v>
      </c>
      <c r="Q8">
        <v>0.79871794871794877</v>
      </c>
      <c r="R8">
        <v>0.59218749999999998</v>
      </c>
      <c r="S8">
        <v>0</v>
      </c>
      <c r="T8">
        <v>0.20523415977961429</v>
      </c>
      <c r="U8">
        <v>1.117977528089888</v>
      </c>
      <c r="V8">
        <v>-0.32163742690058478</v>
      </c>
      <c r="W8">
        <v>0.52611940298507465</v>
      </c>
      <c r="X8">
        <v>0.11713286713286709</v>
      </c>
      <c r="Y8">
        <v>0.34554140127388527</v>
      </c>
      <c r="Z8">
        <v>0.33056872037914692</v>
      </c>
    </row>
    <row r="9" spans="1:26" x14ac:dyDescent="0.25">
      <c r="A9" s="1">
        <v>2</v>
      </c>
      <c r="B9">
        <v>0.91715976331360949</v>
      </c>
      <c r="C9">
        <v>0.27192982456140352</v>
      </c>
      <c r="D9">
        <v>0.16666666666666671</v>
      </c>
      <c r="E9">
        <v>0</v>
      </c>
      <c r="F9">
        <v>0</v>
      </c>
      <c r="G9">
        <v>0.51603498542274051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0.66081081081081083</v>
      </c>
      <c r="O9">
        <v>0</v>
      </c>
      <c r="P9">
        <v>0</v>
      </c>
      <c r="Q9">
        <v>0.37564102564102558</v>
      </c>
      <c r="R9">
        <v>0.84375</v>
      </c>
      <c r="S9">
        <v>0</v>
      </c>
      <c r="T9">
        <v>0.45867768595041319</v>
      </c>
      <c r="U9">
        <v>0</v>
      </c>
      <c r="V9">
        <v>0.1125730994152047</v>
      </c>
      <c r="W9">
        <v>0</v>
      </c>
      <c r="X9">
        <v>0</v>
      </c>
      <c r="Y9">
        <v>0.58280254777070062</v>
      </c>
      <c r="Z9">
        <v>0</v>
      </c>
    </row>
    <row r="10" spans="1:26" x14ac:dyDescent="0.25">
      <c r="A10" s="1">
        <v>30</v>
      </c>
      <c r="B10">
        <v>0.48668639053254442</v>
      </c>
      <c r="C10">
        <v>1.879699248120301E-2</v>
      </c>
      <c r="D10">
        <v>0.126984126984127</v>
      </c>
      <c r="E10">
        <v>0</v>
      </c>
      <c r="F10">
        <v>0</v>
      </c>
      <c r="G10">
        <v>0.44169096209912528</v>
      </c>
      <c r="H10">
        <v>0</v>
      </c>
      <c r="I10">
        <v>0.51932367149758452</v>
      </c>
      <c r="J10">
        <v>0</v>
      </c>
      <c r="K10">
        <v>0.68068535825545173</v>
      </c>
      <c r="L10">
        <v>0</v>
      </c>
      <c r="M10">
        <v>0</v>
      </c>
      <c r="N10">
        <v>0.83243243243243248</v>
      </c>
      <c r="O10">
        <v>0</v>
      </c>
      <c r="P10">
        <v>0</v>
      </c>
      <c r="Q10">
        <v>0.5115384615384615</v>
      </c>
      <c r="R10">
        <v>0.53437500000000004</v>
      </c>
      <c r="S10">
        <v>0</v>
      </c>
      <c r="T10">
        <v>0.82920110192837471</v>
      </c>
      <c r="U10">
        <v>0</v>
      </c>
      <c r="V10">
        <v>-0.14912280701754391</v>
      </c>
      <c r="W10">
        <v>0</v>
      </c>
      <c r="X10">
        <v>0.534965034965035</v>
      </c>
      <c r="Y10">
        <v>0.46178343949044592</v>
      </c>
      <c r="Z10">
        <v>0</v>
      </c>
    </row>
    <row r="11" spans="1:26" x14ac:dyDescent="0.25">
      <c r="A11" s="1">
        <v>12</v>
      </c>
      <c r="B11">
        <v>-4.4378698224852072E-3</v>
      </c>
      <c r="C11">
        <v>-0.48120300751879702</v>
      </c>
      <c r="D11">
        <v>-0.2275132275132275</v>
      </c>
      <c r="E11">
        <v>0</v>
      </c>
      <c r="F11">
        <v>0</v>
      </c>
      <c r="G11">
        <v>-3.4985422740524783E-2</v>
      </c>
      <c r="H11">
        <v>0</v>
      </c>
      <c r="I11">
        <v>-0.2439613526570048</v>
      </c>
      <c r="J11">
        <v>0</v>
      </c>
      <c r="K11">
        <v>0</v>
      </c>
      <c r="L11">
        <v>0</v>
      </c>
      <c r="M11">
        <v>0</v>
      </c>
      <c r="N11">
        <v>0.19054054054054051</v>
      </c>
      <c r="O11">
        <v>0</v>
      </c>
      <c r="P11">
        <v>0</v>
      </c>
      <c r="Q11">
        <v>-0.2153846153846154</v>
      </c>
      <c r="R11">
        <v>0.109375</v>
      </c>
      <c r="S11">
        <v>0</v>
      </c>
      <c r="T11">
        <v>-0.16115702479338839</v>
      </c>
      <c r="U11">
        <v>0</v>
      </c>
      <c r="V11">
        <v>-0.65350877192982459</v>
      </c>
      <c r="W11">
        <v>0</v>
      </c>
      <c r="X11">
        <v>-0.29020979020979021</v>
      </c>
      <c r="Y11">
        <v>-0.19426751592356689</v>
      </c>
      <c r="Z11">
        <v>0</v>
      </c>
    </row>
    <row r="12" spans="1:26" x14ac:dyDescent="0.25">
      <c r="A12" s="1">
        <v>15</v>
      </c>
      <c r="B12">
        <v>1.183431952662722E-2</v>
      </c>
      <c r="C12">
        <v>-0.43107769423558889</v>
      </c>
      <c r="D12">
        <v>-0.46560846560846558</v>
      </c>
      <c r="E12">
        <v>0.6442622950819672</v>
      </c>
      <c r="F12">
        <v>0.2107843137254902</v>
      </c>
      <c r="G12">
        <v>-1.8950437317784261E-2</v>
      </c>
      <c r="H12">
        <v>0</v>
      </c>
      <c r="I12">
        <v>-0.23067632850241551</v>
      </c>
      <c r="J12">
        <v>-0.43421052631578949</v>
      </c>
      <c r="K12">
        <v>0.13084112149532709</v>
      </c>
      <c r="L12">
        <v>0</v>
      </c>
      <c r="M12">
        <v>0</v>
      </c>
      <c r="N12">
        <v>0.16351351351351351</v>
      </c>
      <c r="O12">
        <v>0</v>
      </c>
      <c r="P12">
        <v>-1.7361111111111108E-2</v>
      </c>
      <c r="Q12">
        <v>-8.7179487179487175E-2</v>
      </c>
      <c r="R12">
        <v>0.33437499999999998</v>
      </c>
      <c r="S12">
        <v>0</v>
      </c>
      <c r="T12">
        <v>-0.35537190082644632</v>
      </c>
      <c r="U12">
        <v>6.741573033707865E-2</v>
      </c>
      <c r="V12">
        <v>-0.48830409356725152</v>
      </c>
      <c r="W12">
        <v>-0.48756218905472642</v>
      </c>
      <c r="X12">
        <v>-0.25699300699300698</v>
      </c>
      <c r="Y12">
        <v>0.1098726114649682</v>
      </c>
      <c r="Z12">
        <v>0</v>
      </c>
    </row>
    <row r="13" spans="1:26" x14ac:dyDescent="0.25">
      <c r="A13" s="1">
        <v>4</v>
      </c>
      <c r="B13">
        <v>0.53402366863905326</v>
      </c>
      <c r="C13">
        <v>0.23308270676691731</v>
      </c>
      <c r="D13">
        <v>0.14814814814814811</v>
      </c>
      <c r="E13">
        <v>1.0868852459016389</v>
      </c>
      <c r="F13">
        <v>0.38725490196078433</v>
      </c>
      <c r="G13">
        <v>0.33673469387755101</v>
      </c>
      <c r="H13">
        <v>0.51057401812688818</v>
      </c>
      <c r="I13">
        <v>0.32729468599033817</v>
      </c>
      <c r="J13">
        <v>0.18552631578947371</v>
      </c>
      <c r="K13">
        <v>0.73520249221183798</v>
      </c>
      <c r="L13">
        <v>0.53220858895705525</v>
      </c>
      <c r="M13">
        <v>0</v>
      </c>
      <c r="N13">
        <v>0.57702702702702702</v>
      </c>
      <c r="O13">
        <v>0.3716216216216216</v>
      </c>
      <c r="P13">
        <v>0.31770833333333331</v>
      </c>
      <c r="Q13">
        <v>0.4217948717948718</v>
      </c>
      <c r="R13">
        <v>0.69687500000000002</v>
      </c>
      <c r="S13">
        <v>0</v>
      </c>
      <c r="T13">
        <v>0.58815426997245179</v>
      </c>
      <c r="U13">
        <v>0.6306179775280899</v>
      </c>
      <c r="V13">
        <v>0.13450292397660821</v>
      </c>
      <c r="W13">
        <v>-4.4776119402985072E-2</v>
      </c>
      <c r="X13">
        <v>0.55069930069930073</v>
      </c>
      <c r="Y13">
        <v>0.72611464968152861</v>
      </c>
      <c r="Z13">
        <v>0.33886255924170622</v>
      </c>
    </row>
    <row r="14" spans="1:26" x14ac:dyDescent="0.25">
      <c r="A14" s="1">
        <v>19</v>
      </c>
      <c r="B14">
        <v>0.14940828402366871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0.13437499999999999</v>
      </c>
      <c r="S14">
        <v>0</v>
      </c>
      <c r="T14">
        <v>0</v>
      </c>
      <c r="U14">
        <v>0</v>
      </c>
      <c r="V14">
        <v>-0.43567251461988299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s="1">
        <v>20</v>
      </c>
      <c r="B15">
        <v>0.62278106508875741</v>
      </c>
      <c r="C15">
        <v>0.40977443609022562</v>
      </c>
      <c r="D15">
        <v>-7.1428571428571425E-2</v>
      </c>
      <c r="E15">
        <v>1.1819672131147541</v>
      </c>
      <c r="F15">
        <v>1.1985294117647061</v>
      </c>
      <c r="G15">
        <v>0.73760932944606417</v>
      </c>
      <c r="H15">
        <v>0</v>
      </c>
      <c r="I15">
        <v>0.37439613526570048</v>
      </c>
      <c r="J15">
        <v>0.2013157894736842</v>
      </c>
      <c r="K15">
        <v>0.73520249221183798</v>
      </c>
      <c r="L15">
        <v>0.9524539877300614</v>
      </c>
      <c r="M15">
        <v>0</v>
      </c>
      <c r="N15">
        <v>0.68918918918918914</v>
      </c>
      <c r="O15">
        <v>0</v>
      </c>
      <c r="P15">
        <v>0.96354166666666663</v>
      </c>
      <c r="Q15">
        <v>0.76282051282051277</v>
      </c>
      <c r="R15">
        <v>0.4296875</v>
      </c>
      <c r="S15">
        <v>0</v>
      </c>
      <c r="T15">
        <v>0.4366391184573003</v>
      </c>
      <c r="U15">
        <v>0.9508426966292135</v>
      </c>
      <c r="V15">
        <v>4.3859649122807024E-3</v>
      </c>
      <c r="W15">
        <v>0.16044776119402979</v>
      </c>
      <c r="X15">
        <v>0.26048951048951052</v>
      </c>
      <c r="Y15">
        <v>0.4426751592356688</v>
      </c>
      <c r="Z15">
        <v>0.16113744075829381</v>
      </c>
    </row>
    <row r="16" spans="1:26" x14ac:dyDescent="0.25">
      <c r="A16" s="1">
        <v>10</v>
      </c>
      <c r="B16">
        <v>0.60355029585798814</v>
      </c>
      <c r="C16">
        <v>0.1203007518796992</v>
      </c>
      <c r="D16">
        <v>0.2724867724867725</v>
      </c>
      <c r="E16">
        <v>0</v>
      </c>
      <c r="F16">
        <v>0</v>
      </c>
      <c r="G16">
        <v>0.53790087463556846</v>
      </c>
      <c r="H16">
        <v>0</v>
      </c>
      <c r="I16">
        <v>0.19806763285024151</v>
      </c>
      <c r="J16">
        <v>0.14736842105263159</v>
      </c>
      <c r="K16">
        <v>0.93457943925233644</v>
      </c>
      <c r="L16">
        <v>0</v>
      </c>
      <c r="M16">
        <v>0</v>
      </c>
      <c r="N16">
        <v>0.57162162162162167</v>
      </c>
      <c r="O16">
        <v>0</v>
      </c>
      <c r="P16">
        <v>0</v>
      </c>
      <c r="Q16">
        <v>0.39871794871794869</v>
      </c>
      <c r="R16">
        <v>0.78125</v>
      </c>
      <c r="S16">
        <v>0</v>
      </c>
      <c r="T16">
        <v>0</v>
      </c>
      <c r="U16">
        <v>0</v>
      </c>
      <c r="V16">
        <v>0</v>
      </c>
      <c r="W16">
        <v>0</v>
      </c>
      <c r="X16">
        <v>0.42132867132867141</v>
      </c>
      <c r="Y16">
        <v>0.60987261146496818</v>
      </c>
      <c r="Z16">
        <v>0</v>
      </c>
    </row>
    <row r="17" spans="1:26" x14ac:dyDescent="0.25">
      <c r="A17" s="1">
        <v>14</v>
      </c>
      <c r="B17">
        <v>0.36686390532544377</v>
      </c>
      <c r="C17">
        <v>-7.1428571428571425E-2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0.55000000000000004</v>
      </c>
      <c r="O17">
        <v>0</v>
      </c>
      <c r="P17">
        <v>0</v>
      </c>
      <c r="Q17">
        <v>0</v>
      </c>
      <c r="R17">
        <v>0.359375</v>
      </c>
      <c r="S17">
        <v>0</v>
      </c>
      <c r="T17">
        <v>0</v>
      </c>
      <c r="U17">
        <v>0</v>
      </c>
      <c r="V17">
        <v>-0.25730994152046782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s="1">
        <v>3</v>
      </c>
      <c r="B18">
        <v>4.7337278106508868E-2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-0.4371345029239766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s="1">
        <v>16</v>
      </c>
      <c r="B19">
        <v>0.94674556213017746</v>
      </c>
      <c r="C19">
        <v>0.49874686716791983</v>
      </c>
      <c r="D19">
        <v>0.35714285714285721</v>
      </c>
      <c r="E19">
        <v>1.8360655737704921</v>
      </c>
      <c r="F19">
        <v>0.82843137254901966</v>
      </c>
      <c r="G19">
        <v>1.1501457725947519</v>
      </c>
      <c r="H19">
        <v>1.019637462235649</v>
      </c>
      <c r="I19">
        <v>0.89613526570048307</v>
      </c>
      <c r="J19">
        <v>0.81052631578947365</v>
      </c>
      <c r="K19">
        <v>1.2414330218068541</v>
      </c>
      <c r="L19">
        <v>1.24079754601227</v>
      </c>
      <c r="M19">
        <v>0.7665847665847666</v>
      </c>
      <c r="N19">
        <v>1.1621621621621621</v>
      </c>
      <c r="O19">
        <v>0.5427927927927928</v>
      </c>
      <c r="P19">
        <v>0.91666666666666663</v>
      </c>
      <c r="Q19">
        <v>1.2423076923076919</v>
      </c>
      <c r="R19">
        <v>0.984375</v>
      </c>
      <c r="S19">
        <v>0</v>
      </c>
      <c r="T19">
        <v>0.65564738292011016</v>
      </c>
      <c r="U19">
        <v>1.473314606741573</v>
      </c>
      <c r="V19">
        <v>0.40497076023391809</v>
      </c>
      <c r="W19">
        <v>0.62313432835820892</v>
      </c>
      <c r="X19">
        <v>0.80594405594405594</v>
      </c>
      <c r="Y19">
        <v>0.99363057324840764</v>
      </c>
      <c r="Z19">
        <v>0.78199052132701419</v>
      </c>
    </row>
    <row r="20" spans="1:26" x14ac:dyDescent="0.25">
      <c r="A20" s="1">
        <v>21</v>
      </c>
      <c r="B20">
        <v>0.55325443786982254</v>
      </c>
      <c r="C20">
        <v>0.1992481203007519</v>
      </c>
      <c r="D20">
        <v>0</v>
      </c>
      <c r="E20">
        <v>0</v>
      </c>
      <c r="F20">
        <v>0</v>
      </c>
      <c r="G20">
        <v>0.62973760932944611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0.50135135135135134</v>
      </c>
      <c r="O20">
        <v>0</v>
      </c>
      <c r="P20">
        <v>0</v>
      </c>
      <c r="Q20">
        <v>0.75641025641025639</v>
      </c>
      <c r="R20">
        <v>0.44843749999999999</v>
      </c>
      <c r="S20">
        <v>0</v>
      </c>
      <c r="T20">
        <v>0</v>
      </c>
      <c r="U20">
        <v>0</v>
      </c>
      <c r="V20">
        <v>-0.1505847953216374</v>
      </c>
      <c r="W20">
        <v>0</v>
      </c>
      <c r="X20">
        <v>0</v>
      </c>
      <c r="Y20">
        <v>0.25796178343949039</v>
      </c>
      <c r="Z20">
        <v>0</v>
      </c>
    </row>
    <row r="21" spans="1:26" x14ac:dyDescent="0.25">
      <c r="A21" s="1">
        <v>18</v>
      </c>
      <c r="B21">
        <v>-0.1079881656804734</v>
      </c>
      <c r="C21">
        <v>-0.38596491228070168</v>
      </c>
      <c r="D21">
        <v>-0.74867724867724872</v>
      </c>
      <c r="E21">
        <v>0</v>
      </c>
      <c r="F21">
        <v>-0.49019607843137247</v>
      </c>
      <c r="G21">
        <v>-8.0174927113702624E-2</v>
      </c>
      <c r="H21">
        <v>0</v>
      </c>
      <c r="I21">
        <v>-0.45893719806763278</v>
      </c>
      <c r="J21">
        <v>-0.50263157894736843</v>
      </c>
      <c r="K21">
        <v>0.1900311526479751</v>
      </c>
      <c r="L21">
        <v>0</v>
      </c>
      <c r="M21">
        <v>0</v>
      </c>
      <c r="N21">
        <v>-0.16621621621621621</v>
      </c>
      <c r="O21">
        <v>0</v>
      </c>
      <c r="P21">
        <v>-0.34027777777777779</v>
      </c>
      <c r="Q21">
        <v>-0.141025641025641</v>
      </c>
      <c r="R21">
        <v>-4.5312499999999999E-2</v>
      </c>
      <c r="S21">
        <v>0</v>
      </c>
      <c r="T21">
        <v>-0.36776859504132231</v>
      </c>
      <c r="U21">
        <v>0</v>
      </c>
      <c r="V21">
        <v>-0.67836257309941517</v>
      </c>
      <c r="W21">
        <v>0</v>
      </c>
      <c r="X21">
        <v>-0.4825174825174825</v>
      </c>
      <c r="Y21">
        <v>-5.7324840764331211E-2</v>
      </c>
      <c r="Z21">
        <v>0</v>
      </c>
    </row>
    <row r="22" spans="1:26" x14ac:dyDescent="0.25">
      <c r="A22" s="1">
        <v>28</v>
      </c>
      <c r="B22">
        <v>0.79585798816568043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1">
        <v>24</v>
      </c>
      <c r="B23">
        <v>0.44674556213017752</v>
      </c>
      <c r="C23">
        <v>0.24436090225563911</v>
      </c>
      <c r="D23">
        <v>-2.9100529100529099E-2</v>
      </c>
      <c r="E23">
        <v>0</v>
      </c>
      <c r="F23">
        <v>0.49019607843137247</v>
      </c>
      <c r="G23">
        <v>0.80466472303206993</v>
      </c>
      <c r="H23">
        <v>0</v>
      </c>
      <c r="I23">
        <v>0.59420289855072461</v>
      </c>
      <c r="J23">
        <v>0.31447368421052629</v>
      </c>
      <c r="K23">
        <v>1.0109034267912771</v>
      </c>
      <c r="L23">
        <v>0</v>
      </c>
      <c r="M23">
        <v>0</v>
      </c>
      <c r="N23">
        <v>0.85135135135135132</v>
      </c>
      <c r="O23">
        <v>0</v>
      </c>
      <c r="P23">
        <v>0.54166666666666663</v>
      </c>
      <c r="Q23">
        <v>0.7</v>
      </c>
      <c r="R23">
        <v>0.71875</v>
      </c>
      <c r="S23">
        <v>0</v>
      </c>
      <c r="T23">
        <v>0.66942148760330578</v>
      </c>
      <c r="U23">
        <v>1.151685393258427</v>
      </c>
      <c r="V23">
        <v>-7.8947368421052627E-2</v>
      </c>
      <c r="W23">
        <v>0</v>
      </c>
      <c r="X23">
        <v>0.47027972027972031</v>
      </c>
      <c r="Y23">
        <v>0.87579617834394907</v>
      </c>
      <c r="Z23">
        <v>0</v>
      </c>
    </row>
    <row r="24" spans="1:26" x14ac:dyDescent="0.25">
      <c r="A24" s="1">
        <v>6</v>
      </c>
      <c r="B24">
        <v>0.46005917159763321</v>
      </c>
      <c r="C24">
        <v>0.14160401002506259</v>
      </c>
      <c r="D24">
        <v>0.14285714285714279</v>
      </c>
      <c r="E24">
        <v>0</v>
      </c>
      <c r="F24">
        <v>0</v>
      </c>
      <c r="G24">
        <v>0.814868804664723</v>
      </c>
      <c r="H24">
        <v>0</v>
      </c>
      <c r="I24">
        <v>0.71859903381642509</v>
      </c>
      <c r="J24">
        <v>0</v>
      </c>
      <c r="K24">
        <v>0</v>
      </c>
      <c r="L24">
        <v>0</v>
      </c>
      <c r="M24">
        <v>0</v>
      </c>
      <c r="N24">
        <v>0.62702702702702706</v>
      </c>
      <c r="O24">
        <v>0</v>
      </c>
      <c r="P24">
        <v>0</v>
      </c>
      <c r="Q24">
        <v>0.98076923076923073</v>
      </c>
      <c r="R24">
        <v>0.484375</v>
      </c>
      <c r="S24">
        <v>0</v>
      </c>
      <c r="T24">
        <v>0.24655647382920109</v>
      </c>
      <c r="U24">
        <v>0</v>
      </c>
      <c r="V24">
        <v>-9.7953216374269E-2</v>
      </c>
      <c r="W24">
        <v>0</v>
      </c>
      <c r="X24">
        <v>0</v>
      </c>
      <c r="Y24">
        <v>0.60987261146496818</v>
      </c>
      <c r="Z24">
        <v>0</v>
      </c>
    </row>
    <row r="25" spans="1:26" x14ac:dyDescent="0.25">
      <c r="A25" s="1">
        <v>27</v>
      </c>
      <c r="B25">
        <v>0.53106508875739644</v>
      </c>
      <c r="C25">
        <v>0.15914786967418551</v>
      </c>
      <c r="D25">
        <v>0</v>
      </c>
      <c r="E25">
        <v>0</v>
      </c>
      <c r="F25">
        <v>0</v>
      </c>
      <c r="G25">
        <v>0.88483965014577259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0.52702702702702697</v>
      </c>
      <c r="O25">
        <v>0</v>
      </c>
      <c r="P25">
        <v>0</v>
      </c>
      <c r="Q25">
        <v>0.72820512820512817</v>
      </c>
      <c r="R25">
        <v>0.54374999999999996</v>
      </c>
      <c r="S25">
        <v>0</v>
      </c>
      <c r="T25">
        <v>0</v>
      </c>
      <c r="U25">
        <v>0</v>
      </c>
      <c r="V25">
        <v>4.3859649122807024E-3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s="1">
        <v>29</v>
      </c>
      <c r="B26">
        <v>1.016272189349112</v>
      </c>
      <c r="C26">
        <v>0.62155388471177941</v>
      </c>
      <c r="D26">
        <v>0.20370370370370369</v>
      </c>
      <c r="E26">
        <v>1.334426229508197</v>
      </c>
      <c r="F26">
        <v>0.90931372549019607</v>
      </c>
      <c r="G26">
        <v>1.227405247813411</v>
      </c>
      <c r="H26">
        <v>0</v>
      </c>
      <c r="I26">
        <v>0.58816425120772942</v>
      </c>
      <c r="J26">
        <v>0.67236842105263162</v>
      </c>
      <c r="K26">
        <v>0.98130841121495327</v>
      </c>
      <c r="L26">
        <v>1.0398773006134969</v>
      </c>
      <c r="M26">
        <v>0</v>
      </c>
      <c r="N26">
        <v>0.56891891891891888</v>
      </c>
      <c r="O26">
        <v>0</v>
      </c>
      <c r="P26">
        <v>0.90625</v>
      </c>
      <c r="Q26">
        <v>1.0192307692307689</v>
      </c>
      <c r="R26">
        <v>0.80937499999999996</v>
      </c>
      <c r="S26">
        <v>0</v>
      </c>
      <c r="T26">
        <v>7.7134986225895319E-2</v>
      </c>
      <c r="U26">
        <v>1.26685393258427</v>
      </c>
      <c r="V26">
        <v>0.2807017543859649</v>
      </c>
      <c r="W26">
        <v>0.5149253731343284</v>
      </c>
      <c r="X26">
        <v>0.49475524475524468</v>
      </c>
      <c r="Y26">
        <v>0.7579617834394905</v>
      </c>
      <c r="Z26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B94D-7906-41AC-B468-68C60E5EFA5E}">
  <dimension ref="A1:Z40"/>
  <sheetViews>
    <sheetView tabSelected="1" workbookViewId="0">
      <selection activeCell="F5" sqref="A1:Z26"/>
    </sheetView>
  </sheetViews>
  <sheetFormatPr defaultRowHeight="14.4" x14ac:dyDescent="0.25"/>
  <sheetData>
    <row r="1" spans="1:26" x14ac:dyDescent="0.25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 x14ac:dyDescent="0.25">
      <c r="A2" s="1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s="1" t="s">
        <v>14</v>
      </c>
      <c r="B3">
        <v>0.35650887573964501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0.46621621621621617</v>
      </c>
      <c r="O3">
        <v>0</v>
      </c>
      <c r="P3">
        <v>0</v>
      </c>
      <c r="Q3">
        <v>0</v>
      </c>
      <c r="R3">
        <v>0.49375000000000002</v>
      </c>
      <c r="S3">
        <v>0</v>
      </c>
      <c r="T3">
        <v>0</v>
      </c>
      <c r="U3">
        <v>0</v>
      </c>
      <c r="V3">
        <v>-2.9239766081871339E-3</v>
      </c>
      <c r="W3">
        <v>0</v>
      </c>
      <c r="X3">
        <v>0</v>
      </c>
      <c r="Y3">
        <v>0</v>
      </c>
      <c r="Z3">
        <v>0</v>
      </c>
    </row>
    <row r="4" spans="1:26" x14ac:dyDescent="0.25">
      <c r="A4" s="1" t="s">
        <v>15</v>
      </c>
      <c r="B4">
        <v>0.86538461538461542</v>
      </c>
      <c r="C4">
        <v>0.50250626566416046</v>
      </c>
      <c r="D4">
        <v>0</v>
      </c>
      <c r="E4">
        <v>0</v>
      </c>
      <c r="F4">
        <v>0</v>
      </c>
      <c r="G4">
        <v>1.12536443148688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0.73513513513513518</v>
      </c>
      <c r="O4">
        <v>0</v>
      </c>
      <c r="P4">
        <v>0</v>
      </c>
      <c r="Q4">
        <v>1.038461538461539</v>
      </c>
      <c r="R4">
        <v>0.87343749999999998</v>
      </c>
      <c r="S4">
        <v>0</v>
      </c>
      <c r="T4">
        <v>0.85261707988980717</v>
      </c>
      <c r="U4">
        <v>0</v>
      </c>
      <c r="V4">
        <v>0.2982456140350877</v>
      </c>
      <c r="W4">
        <v>0</v>
      </c>
      <c r="X4">
        <v>0</v>
      </c>
      <c r="Y4">
        <v>1.124203821656051</v>
      </c>
      <c r="Z4">
        <v>0</v>
      </c>
    </row>
    <row r="5" spans="1:26" x14ac:dyDescent="0.25">
      <c r="A5" s="1" t="s">
        <v>16</v>
      </c>
      <c r="B5">
        <v>-0.73816568047337283</v>
      </c>
      <c r="C5">
        <v>-0.79949874686716793</v>
      </c>
      <c r="D5">
        <v>-1.1375661375661379</v>
      </c>
      <c r="E5">
        <v>0</v>
      </c>
      <c r="F5">
        <v>-0.30882352941176472</v>
      </c>
      <c r="G5">
        <v>-0.28862973760932947</v>
      </c>
      <c r="H5">
        <v>0</v>
      </c>
      <c r="I5">
        <v>-0.53260869565217395</v>
      </c>
      <c r="J5">
        <v>-0.77763157894736845</v>
      </c>
      <c r="K5">
        <v>-0.52959501557632394</v>
      </c>
      <c r="L5">
        <v>0</v>
      </c>
      <c r="M5">
        <v>0</v>
      </c>
      <c r="N5">
        <v>-0.58243243243243248</v>
      </c>
      <c r="O5">
        <v>0</v>
      </c>
      <c r="P5">
        <v>-0.73611111111111116</v>
      </c>
      <c r="Q5">
        <v>-0.52179487179487183</v>
      </c>
      <c r="R5">
        <v>-0.4921875</v>
      </c>
      <c r="S5">
        <v>0</v>
      </c>
      <c r="T5">
        <v>-0.85399449035812669</v>
      </c>
      <c r="U5">
        <v>-0.199438202247191</v>
      </c>
      <c r="V5">
        <v>-1.445906432748538</v>
      </c>
      <c r="W5">
        <v>-1.227611940298508</v>
      </c>
      <c r="X5">
        <v>-1.061188811188811</v>
      </c>
      <c r="Y5">
        <v>-0.55414012738853502</v>
      </c>
      <c r="Z5">
        <v>0</v>
      </c>
    </row>
    <row r="6" spans="1:26" x14ac:dyDescent="0.25">
      <c r="A6" s="1" t="s">
        <v>17</v>
      </c>
      <c r="B6">
        <v>0.59911242603550297</v>
      </c>
      <c r="C6">
        <v>-7.8947368421052627E-2</v>
      </c>
      <c r="D6">
        <v>-3.439153439153439E-2</v>
      </c>
      <c r="E6">
        <v>0</v>
      </c>
      <c r="F6">
        <v>0</v>
      </c>
      <c r="G6">
        <v>0.64868804664723034</v>
      </c>
      <c r="H6">
        <v>0</v>
      </c>
      <c r="I6">
        <v>0.42028985507246369</v>
      </c>
      <c r="J6">
        <v>0.14605263157894741</v>
      </c>
      <c r="K6">
        <v>0.89252336448598135</v>
      </c>
      <c r="L6">
        <v>0</v>
      </c>
      <c r="M6">
        <v>0</v>
      </c>
      <c r="N6">
        <v>0.77567567567567564</v>
      </c>
      <c r="O6">
        <v>0</v>
      </c>
      <c r="P6">
        <v>0.1545138888888889</v>
      </c>
      <c r="Q6">
        <v>0.41025641025641019</v>
      </c>
      <c r="R6">
        <v>0.60468750000000004</v>
      </c>
      <c r="S6">
        <v>0</v>
      </c>
      <c r="T6">
        <v>0.48898071625344353</v>
      </c>
      <c r="U6">
        <v>0</v>
      </c>
      <c r="V6">
        <v>-8.6257309941520463E-2</v>
      </c>
      <c r="W6">
        <v>0</v>
      </c>
      <c r="X6">
        <v>2.2727272727272731E-2</v>
      </c>
      <c r="Y6">
        <v>0.37579617834394913</v>
      </c>
      <c r="Z6">
        <v>0</v>
      </c>
    </row>
    <row r="7" spans="1:26" x14ac:dyDescent="0.25">
      <c r="A7" s="1" t="s">
        <v>18</v>
      </c>
      <c r="B7">
        <v>0.25443786982248517</v>
      </c>
      <c r="C7">
        <v>-0.29197994987468667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0.1851351351351351</v>
      </c>
      <c r="O7">
        <v>0</v>
      </c>
      <c r="P7">
        <v>0</v>
      </c>
      <c r="Q7">
        <v>5.5128205128205127E-2</v>
      </c>
      <c r="R7">
        <v>0.17812500000000001</v>
      </c>
      <c r="S7">
        <v>0</v>
      </c>
      <c r="T7">
        <v>0</v>
      </c>
      <c r="U7">
        <v>0</v>
      </c>
      <c r="V7">
        <v>-0.54532163742690054</v>
      </c>
      <c r="W7">
        <v>0</v>
      </c>
      <c r="X7">
        <v>0</v>
      </c>
      <c r="Y7">
        <v>0</v>
      </c>
      <c r="Z7">
        <v>0</v>
      </c>
    </row>
    <row r="8" spans="1:26" x14ac:dyDescent="0.25">
      <c r="A8" s="1" t="s">
        <v>19</v>
      </c>
      <c r="B8">
        <v>0.52662721893491127</v>
      </c>
      <c r="C8">
        <v>0.24060150375939851</v>
      </c>
      <c r="D8">
        <v>0.1058201058201058</v>
      </c>
      <c r="E8">
        <v>1.119672131147541</v>
      </c>
      <c r="F8">
        <v>1.3161764705882351</v>
      </c>
      <c r="G8">
        <v>0.83819241982507287</v>
      </c>
      <c r="H8">
        <v>0</v>
      </c>
      <c r="I8">
        <v>0.42028985507246369</v>
      </c>
      <c r="J8">
        <v>1.3644736842105261</v>
      </c>
      <c r="K8">
        <v>0.63084112149532712</v>
      </c>
      <c r="L8">
        <v>1.46319018404908</v>
      </c>
      <c r="M8">
        <v>0</v>
      </c>
      <c r="N8">
        <v>0.47837837837837838</v>
      </c>
      <c r="O8">
        <v>0.1396396396396396</v>
      </c>
      <c r="P8">
        <v>0.89409722222222221</v>
      </c>
      <c r="Q8">
        <v>0.79871794871794877</v>
      </c>
      <c r="R8">
        <v>0.59218749999999998</v>
      </c>
      <c r="S8">
        <v>0</v>
      </c>
      <c r="T8">
        <v>0.20523415977961429</v>
      </c>
      <c r="U8">
        <v>1.117977528089888</v>
      </c>
      <c r="V8">
        <v>-0.32163742690058478</v>
      </c>
      <c r="W8">
        <v>0.52611940298507465</v>
      </c>
      <c r="X8">
        <v>0.11713286713286709</v>
      </c>
      <c r="Y8">
        <v>0.34554140127388527</v>
      </c>
      <c r="Z8">
        <v>0.33056872037914692</v>
      </c>
    </row>
    <row r="9" spans="1:26" x14ac:dyDescent="0.25">
      <c r="A9" s="1" t="s">
        <v>20</v>
      </c>
      <c r="B9">
        <v>0.91715976331360949</v>
      </c>
      <c r="C9">
        <v>0.27192982456140352</v>
      </c>
      <c r="D9">
        <v>0.16666666666666671</v>
      </c>
      <c r="E9">
        <v>0</v>
      </c>
      <c r="F9">
        <v>0</v>
      </c>
      <c r="G9">
        <v>0.51603498542274051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0.66081081081081083</v>
      </c>
      <c r="O9">
        <v>0</v>
      </c>
      <c r="P9">
        <v>0</v>
      </c>
      <c r="Q9">
        <v>0.37564102564102558</v>
      </c>
      <c r="R9">
        <v>0.84375</v>
      </c>
      <c r="S9">
        <v>0</v>
      </c>
      <c r="T9">
        <v>0.45867768595041319</v>
      </c>
      <c r="U9">
        <v>0</v>
      </c>
      <c r="V9">
        <v>0.1125730994152047</v>
      </c>
      <c r="W9">
        <v>0</v>
      </c>
      <c r="X9">
        <v>0</v>
      </c>
      <c r="Y9">
        <v>0.58280254777070062</v>
      </c>
      <c r="Z9">
        <v>0</v>
      </c>
    </row>
    <row r="10" spans="1:26" x14ac:dyDescent="0.25">
      <c r="A10" s="1" t="s">
        <v>21</v>
      </c>
      <c r="B10">
        <v>0.48668639053254442</v>
      </c>
      <c r="C10">
        <v>1.879699248120301E-2</v>
      </c>
      <c r="D10">
        <v>0.126984126984127</v>
      </c>
      <c r="E10">
        <v>0</v>
      </c>
      <c r="F10">
        <v>0</v>
      </c>
      <c r="G10">
        <v>0.44169096209912528</v>
      </c>
      <c r="H10">
        <v>0</v>
      </c>
      <c r="I10">
        <v>0.51932367149758452</v>
      </c>
      <c r="J10">
        <v>0</v>
      </c>
      <c r="K10">
        <v>0.68068535825545173</v>
      </c>
      <c r="L10">
        <v>0</v>
      </c>
      <c r="M10">
        <v>0</v>
      </c>
      <c r="N10">
        <v>0.83243243243243248</v>
      </c>
      <c r="O10">
        <v>0</v>
      </c>
      <c r="P10">
        <v>0</v>
      </c>
      <c r="Q10">
        <v>0.5115384615384615</v>
      </c>
      <c r="R10">
        <v>0.53437500000000004</v>
      </c>
      <c r="S10">
        <v>0</v>
      </c>
      <c r="T10">
        <v>0.82920110192837471</v>
      </c>
      <c r="U10">
        <v>0</v>
      </c>
      <c r="V10">
        <v>-0.14912280701754391</v>
      </c>
      <c r="W10">
        <v>0</v>
      </c>
      <c r="X10">
        <v>0.534965034965035</v>
      </c>
      <c r="Y10">
        <v>0.46178343949044592</v>
      </c>
      <c r="Z10">
        <v>0</v>
      </c>
    </row>
    <row r="11" spans="1:26" x14ac:dyDescent="0.25">
      <c r="A11" s="1" t="s">
        <v>22</v>
      </c>
      <c r="B11">
        <v>-4.4378698224852072E-3</v>
      </c>
      <c r="C11">
        <v>-0.48120300751879702</v>
      </c>
      <c r="D11">
        <v>-0.2275132275132275</v>
      </c>
      <c r="E11">
        <v>0</v>
      </c>
      <c r="F11">
        <v>0</v>
      </c>
      <c r="G11">
        <v>-3.4985422740524783E-2</v>
      </c>
      <c r="H11">
        <v>0</v>
      </c>
      <c r="I11">
        <v>-0.2439613526570048</v>
      </c>
      <c r="J11">
        <v>0</v>
      </c>
      <c r="K11">
        <v>0</v>
      </c>
      <c r="L11">
        <v>0</v>
      </c>
      <c r="M11">
        <v>0</v>
      </c>
      <c r="N11">
        <v>0.19054054054054051</v>
      </c>
      <c r="O11">
        <v>0</v>
      </c>
      <c r="P11">
        <v>0</v>
      </c>
      <c r="Q11">
        <v>-0.2153846153846154</v>
      </c>
      <c r="R11">
        <v>0.109375</v>
      </c>
      <c r="S11">
        <v>0</v>
      </c>
      <c r="T11">
        <v>-0.16115702479338839</v>
      </c>
      <c r="U11">
        <v>0</v>
      </c>
      <c r="V11">
        <v>-0.65350877192982459</v>
      </c>
      <c r="W11">
        <v>0</v>
      </c>
      <c r="X11">
        <v>-0.29020979020979021</v>
      </c>
      <c r="Y11">
        <v>-0.19426751592356689</v>
      </c>
      <c r="Z11">
        <v>0</v>
      </c>
    </row>
    <row r="12" spans="1:26" x14ac:dyDescent="0.25">
      <c r="A12" s="1" t="s">
        <v>23</v>
      </c>
      <c r="B12">
        <v>1.183431952662722E-2</v>
      </c>
      <c r="C12">
        <v>-0.43107769423558889</v>
      </c>
      <c r="D12">
        <v>-0.46560846560846558</v>
      </c>
      <c r="E12">
        <v>0.6442622950819672</v>
      </c>
      <c r="F12">
        <v>0.2107843137254902</v>
      </c>
      <c r="G12">
        <v>-1.8950437317784261E-2</v>
      </c>
      <c r="H12">
        <v>0</v>
      </c>
      <c r="I12">
        <v>-0.23067632850241551</v>
      </c>
      <c r="J12">
        <v>-0.43421052631578949</v>
      </c>
      <c r="K12">
        <v>0.13084112149532709</v>
      </c>
      <c r="L12">
        <v>0</v>
      </c>
      <c r="M12">
        <v>0</v>
      </c>
      <c r="N12">
        <v>0.16351351351351351</v>
      </c>
      <c r="O12">
        <v>0</v>
      </c>
      <c r="P12">
        <v>-1.7361111111111108E-2</v>
      </c>
      <c r="Q12">
        <v>-8.7179487179487175E-2</v>
      </c>
      <c r="R12">
        <v>0.33437499999999998</v>
      </c>
      <c r="S12">
        <v>0</v>
      </c>
      <c r="T12">
        <v>-0.35537190082644632</v>
      </c>
      <c r="U12">
        <v>6.741573033707865E-2</v>
      </c>
      <c r="V12">
        <v>-0.48830409356725152</v>
      </c>
      <c r="W12">
        <v>-0.48756218905472642</v>
      </c>
      <c r="X12">
        <v>-0.25699300699300698</v>
      </c>
      <c r="Y12">
        <v>0.1098726114649682</v>
      </c>
      <c r="Z12">
        <v>0</v>
      </c>
    </row>
    <row r="13" spans="1:26" x14ac:dyDescent="0.25">
      <c r="A13" s="1" t="s">
        <v>24</v>
      </c>
      <c r="B13">
        <v>0.53402366863905326</v>
      </c>
      <c r="C13">
        <v>0.23308270676691731</v>
      </c>
      <c r="D13">
        <v>0.14814814814814811</v>
      </c>
      <c r="E13">
        <v>1.0868852459016389</v>
      </c>
      <c r="F13">
        <v>0.38725490196078433</v>
      </c>
      <c r="G13">
        <v>0.33673469387755101</v>
      </c>
      <c r="H13">
        <v>0.51057401812688818</v>
      </c>
      <c r="I13">
        <v>0.32729468599033817</v>
      </c>
      <c r="J13">
        <v>0.18552631578947371</v>
      </c>
      <c r="K13">
        <v>0.73520249221183798</v>
      </c>
      <c r="L13">
        <v>0.53220858895705525</v>
      </c>
      <c r="M13">
        <v>0</v>
      </c>
      <c r="N13">
        <v>0.57702702702702702</v>
      </c>
      <c r="O13">
        <v>0.3716216216216216</v>
      </c>
      <c r="P13">
        <v>0.31770833333333331</v>
      </c>
      <c r="Q13">
        <v>0.4217948717948718</v>
      </c>
      <c r="R13">
        <v>0.69687500000000002</v>
      </c>
      <c r="S13">
        <v>0</v>
      </c>
      <c r="T13">
        <v>0.58815426997245179</v>
      </c>
      <c r="U13">
        <v>0.6306179775280899</v>
      </c>
      <c r="V13">
        <v>0.13450292397660821</v>
      </c>
      <c r="W13">
        <v>-4.4776119402985072E-2</v>
      </c>
      <c r="X13">
        <v>0.55069930069930073</v>
      </c>
      <c r="Y13">
        <v>0.72611464968152861</v>
      </c>
      <c r="Z13">
        <v>0.33886255924170622</v>
      </c>
    </row>
    <row r="14" spans="1:26" x14ac:dyDescent="0.25">
      <c r="A14" s="1" t="s">
        <v>25</v>
      </c>
      <c r="B14">
        <v>0.14940828402366871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0.13437499999999999</v>
      </c>
      <c r="S14">
        <v>0</v>
      </c>
      <c r="T14">
        <v>0</v>
      </c>
      <c r="U14">
        <v>0</v>
      </c>
      <c r="V14">
        <v>-0.43567251461988299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s="1" t="s">
        <v>26</v>
      </c>
      <c r="B15">
        <v>0.62278106508875741</v>
      </c>
      <c r="C15">
        <v>0.40977443609022562</v>
      </c>
      <c r="D15">
        <v>-7.1428571428571425E-2</v>
      </c>
      <c r="E15">
        <v>1.1819672131147541</v>
      </c>
      <c r="F15">
        <v>1.1985294117647061</v>
      </c>
      <c r="G15">
        <v>0.73760932944606417</v>
      </c>
      <c r="H15">
        <v>0</v>
      </c>
      <c r="I15">
        <v>0.37439613526570048</v>
      </c>
      <c r="J15">
        <v>0.2013157894736842</v>
      </c>
      <c r="K15">
        <v>0.73520249221183798</v>
      </c>
      <c r="L15">
        <v>0.9524539877300614</v>
      </c>
      <c r="M15">
        <v>0</v>
      </c>
      <c r="N15">
        <v>0.68918918918918914</v>
      </c>
      <c r="O15">
        <v>0</v>
      </c>
      <c r="P15">
        <v>0.96354166666666663</v>
      </c>
      <c r="Q15">
        <v>0.76282051282051277</v>
      </c>
      <c r="R15">
        <v>0.4296875</v>
      </c>
      <c r="S15">
        <v>0</v>
      </c>
      <c r="T15">
        <v>0.4366391184573003</v>
      </c>
      <c r="U15">
        <v>0.9508426966292135</v>
      </c>
      <c r="V15">
        <v>4.3859649122807024E-3</v>
      </c>
      <c r="W15">
        <v>0.16044776119402979</v>
      </c>
      <c r="X15">
        <v>0.26048951048951052</v>
      </c>
      <c r="Y15">
        <v>0.4426751592356688</v>
      </c>
      <c r="Z15">
        <v>0.16113744075829381</v>
      </c>
    </row>
    <row r="16" spans="1:26" x14ac:dyDescent="0.25">
      <c r="A16" s="1" t="s">
        <v>27</v>
      </c>
      <c r="B16">
        <v>0.60355029585798814</v>
      </c>
      <c r="C16">
        <v>0.1203007518796992</v>
      </c>
      <c r="D16">
        <v>0.2724867724867725</v>
      </c>
      <c r="E16">
        <v>0</v>
      </c>
      <c r="F16">
        <v>0</v>
      </c>
      <c r="G16">
        <v>0.53790087463556846</v>
      </c>
      <c r="H16">
        <v>0</v>
      </c>
      <c r="I16">
        <v>0.19806763285024151</v>
      </c>
      <c r="J16">
        <v>0.14736842105263159</v>
      </c>
      <c r="K16">
        <v>0.93457943925233644</v>
      </c>
      <c r="L16">
        <v>0</v>
      </c>
      <c r="M16">
        <v>0</v>
      </c>
      <c r="N16">
        <v>0.57162162162162167</v>
      </c>
      <c r="O16">
        <v>0</v>
      </c>
      <c r="P16">
        <v>0</v>
      </c>
      <c r="Q16">
        <v>0.39871794871794869</v>
      </c>
      <c r="R16">
        <v>0.78125</v>
      </c>
      <c r="S16">
        <v>0</v>
      </c>
      <c r="T16">
        <v>0.13498622589531681</v>
      </c>
      <c r="U16">
        <v>0</v>
      </c>
      <c r="V16">
        <v>0</v>
      </c>
      <c r="W16">
        <v>0</v>
      </c>
      <c r="X16">
        <v>0.42132867132867141</v>
      </c>
      <c r="Y16">
        <v>0.60987261146496818</v>
      </c>
      <c r="Z16">
        <v>0</v>
      </c>
    </row>
    <row r="17" spans="1:26" x14ac:dyDescent="0.25">
      <c r="A17" s="1" t="s">
        <v>28</v>
      </c>
      <c r="B17">
        <v>0.36686390532544377</v>
      </c>
      <c r="C17">
        <v>-7.1428571428571425E-2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0.55000000000000004</v>
      </c>
      <c r="O17">
        <v>0</v>
      </c>
      <c r="P17">
        <v>0</v>
      </c>
      <c r="Q17">
        <v>0</v>
      </c>
      <c r="R17">
        <v>0.359375</v>
      </c>
      <c r="S17">
        <v>0</v>
      </c>
      <c r="T17">
        <v>0</v>
      </c>
      <c r="U17">
        <v>0</v>
      </c>
      <c r="V17">
        <v>-0.25730994152046782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s="1" t="s">
        <v>29</v>
      </c>
      <c r="B18">
        <v>4.7337278106508868E-2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-0.4371345029239766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s="1" t="s">
        <v>30</v>
      </c>
      <c r="B19">
        <v>0.94674556213017746</v>
      </c>
      <c r="C19">
        <v>0.49874686716791983</v>
      </c>
      <c r="D19">
        <v>0.35714285714285721</v>
      </c>
      <c r="E19">
        <v>1.8360655737704921</v>
      </c>
      <c r="F19">
        <v>0.82843137254901966</v>
      </c>
      <c r="G19">
        <v>1.1501457725947519</v>
      </c>
      <c r="H19">
        <v>1.019637462235649</v>
      </c>
      <c r="I19">
        <v>0.89613526570048307</v>
      </c>
      <c r="J19">
        <v>0.81052631578947365</v>
      </c>
      <c r="K19">
        <v>1.2414330218068541</v>
      </c>
      <c r="L19">
        <v>1.24079754601227</v>
      </c>
      <c r="M19">
        <v>0.7665847665847666</v>
      </c>
      <c r="N19">
        <v>1.1621621621621621</v>
      </c>
      <c r="O19">
        <v>0.5427927927927928</v>
      </c>
      <c r="P19">
        <v>0.91666666666666663</v>
      </c>
      <c r="Q19">
        <v>1.2423076923076919</v>
      </c>
      <c r="R19">
        <v>0.984375</v>
      </c>
      <c r="S19">
        <v>0</v>
      </c>
      <c r="T19">
        <v>0.65564738292011016</v>
      </c>
      <c r="U19">
        <v>1.473314606741573</v>
      </c>
      <c r="V19">
        <v>0.40497076023391809</v>
      </c>
      <c r="W19">
        <v>0.62313432835820892</v>
      </c>
      <c r="X19">
        <v>0.80594405594405594</v>
      </c>
      <c r="Y19">
        <v>0.99363057324840764</v>
      </c>
      <c r="Z19">
        <v>0.78199052132701419</v>
      </c>
    </row>
    <row r="20" spans="1:26" x14ac:dyDescent="0.25">
      <c r="A20" s="1" t="s">
        <v>31</v>
      </c>
      <c r="B20">
        <v>0.55325443786982254</v>
      </c>
      <c r="C20">
        <v>0.1992481203007519</v>
      </c>
      <c r="D20">
        <v>0</v>
      </c>
      <c r="E20">
        <v>0</v>
      </c>
      <c r="F20">
        <v>0</v>
      </c>
      <c r="G20">
        <v>0.62973760932944611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0.50135135135135134</v>
      </c>
      <c r="O20">
        <v>0</v>
      </c>
      <c r="P20">
        <v>0</v>
      </c>
      <c r="Q20">
        <v>0.75641025641025639</v>
      </c>
      <c r="R20">
        <v>0.44843749999999999</v>
      </c>
      <c r="S20">
        <v>0</v>
      </c>
      <c r="T20">
        <v>0</v>
      </c>
      <c r="U20">
        <v>0</v>
      </c>
      <c r="V20">
        <v>-0.1505847953216374</v>
      </c>
      <c r="W20">
        <v>0</v>
      </c>
      <c r="X20">
        <v>0</v>
      </c>
      <c r="Y20">
        <v>0.25796178343949039</v>
      </c>
      <c r="Z20">
        <v>0</v>
      </c>
    </row>
    <row r="21" spans="1:26" x14ac:dyDescent="0.25">
      <c r="A21" s="1" t="s">
        <v>32</v>
      </c>
      <c r="B21">
        <v>-0.1079881656804734</v>
      </c>
      <c r="C21">
        <v>-0.38596491228070168</v>
      </c>
      <c r="D21">
        <v>-0.74867724867724872</v>
      </c>
      <c r="E21">
        <v>0</v>
      </c>
      <c r="F21">
        <v>-0.49019607843137247</v>
      </c>
      <c r="G21">
        <v>-8.0174927113702624E-2</v>
      </c>
      <c r="H21">
        <v>0</v>
      </c>
      <c r="I21">
        <v>-0.45893719806763278</v>
      </c>
      <c r="J21">
        <v>-0.50263157894736843</v>
      </c>
      <c r="K21">
        <v>0.1900311526479751</v>
      </c>
      <c r="L21">
        <v>0</v>
      </c>
      <c r="M21">
        <v>0</v>
      </c>
      <c r="N21">
        <v>-0.16621621621621621</v>
      </c>
      <c r="O21">
        <v>0</v>
      </c>
      <c r="P21">
        <v>-0.34027777777777779</v>
      </c>
      <c r="Q21">
        <v>-0.141025641025641</v>
      </c>
      <c r="R21">
        <v>-4.5312499999999999E-2</v>
      </c>
      <c r="S21">
        <v>0</v>
      </c>
      <c r="T21">
        <v>-0.36776859504132231</v>
      </c>
      <c r="U21">
        <v>0</v>
      </c>
      <c r="V21">
        <v>-0.67836257309941517</v>
      </c>
      <c r="W21">
        <v>0</v>
      </c>
      <c r="X21">
        <v>-0.4825174825174825</v>
      </c>
      <c r="Y21">
        <v>-5.7324840764331211E-2</v>
      </c>
      <c r="Z21">
        <v>0</v>
      </c>
    </row>
    <row r="22" spans="1:26" x14ac:dyDescent="0.25">
      <c r="A22" s="1" t="s">
        <v>33</v>
      </c>
      <c r="B22">
        <v>0.79585798816568043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1" t="s">
        <v>34</v>
      </c>
      <c r="B23">
        <v>0.44674556213017752</v>
      </c>
      <c r="C23">
        <v>0.24436090225563911</v>
      </c>
      <c r="D23">
        <v>-2.9100529100529099E-2</v>
      </c>
      <c r="E23">
        <v>0</v>
      </c>
      <c r="F23">
        <v>0.49019607843137247</v>
      </c>
      <c r="G23">
        <v>0.80466472303206993</v>
      </c>
      <c r="H23">
        <v>0</v>
      </c>
      <c r="I23">
        <v>0.59420289855072461</v>
      </c>
      <c r="J23">
        <v>0.31447368421052629</v>
      </c>
      <c r="K23">
        <v>1.0109034267912771</v>
      </c>
      <c r="L23">
        <v>0</v>
      </c>
      <c r="M23">
        <v>0</v>
      </c>
      <c r="N23">
        <v>0.85135135135135132</v>
      </c>
      <c r="O23">
        <v>0</v>
      </c>
      <c r="P23">
        <v>0.54166666666666663</v>
      </c>
      <c r="Q23">
        <v>0.7</v>
      </c>
      <c r="R23">
        <v>0.71875</v>
      </c>
      <c r="S23">
        <v>0</v>
      </c>
      <c r="T23">
        <v>0.66942148760330578</v>
      </c>
      <c r="U23">
        <v>1.151685393258427</v>
      </c>
      <c r="V23">
        <v>-7.8947368421052627E-2</v>
      </c>
      <c r="W23">
        <v>0</v>
      </c>
      <c r="X23">
        <v>0.47027972027972031</v>
      </c>
      <c r="Y23">
        <v>0.87579617834394907</v>
      </c>
      <c r="Z23">
        <v>0</v>
      </c>
    </row>
    <row r="24" spans="1:26" x14ac:dyDescent="0.25">
      <c r="A24" s="1" t="s">
        <v>35</v>
      </c>
      <c r="B24">
        <v>0.46005917159763321</v>
      </c>
      <c r="C24">
        <v>0.14160401002506259</v>
      </c>
      <c r="D24">
        <v>0.14285714285714279</v>
      </c>
      <c r="E24">
        <v>0</v>
      </c>
      <c r="F24">
        <v>0</v>
      </c>
      <c r="G24">
        <v>0.814868804664723</v>
      </c>
      <c r="H24">
        <v>0</v>
      </c>
      <c r="I24">
        <v>0.71859903381642509</v>
      </c>
      <c r="J24">
        <v>0</v>
      </c>
      <c r="K24">
        <v>0</v>
      </c>
      <c r="L24">
        <v>0</v>
      </c>
      <c r="M24">
        <v>0</v>
      </c>
      <c r="N24">
        <v>0.62702702702702706</v>
      </c>
      <c r="O24">
        <v>0</v>
      </c>
      <c r="P24">
        <v>0</v>
      </c>
      <c r="Q24">
        <v>0.98076923076923073</v>
      </c>
      <c r="R24">
        <v>0.484375</v>
      </c>
      <c r="S24">
        <v>0</v>
      </c>
      <c r="T24">
        <v>0.24655647382920109</v>
      </c>
      <c r="U24">
        <v>0</v>
      </c>
      <c r="V24">
        <v>-9.7953216374269E-2</v>
      </c>
      <c r="W24">
        <v>0</v>
      </c>
      <c r="X24">
        <v>0</v>
      </c>
      <c r="Y24">
        <v>0.60987261146496818</v>
      </c>
      <c r="Z24">
        <v>0</v>
      </c>
    </row>
    <row r="25" spans="1:26" x14ac:dyDescent="0.25">
      <c r="A25" s="1" t="s">
        <v>36</v>
      </c>
      <c r="B25">
        <v>0.53106508875739644</v>
      </c>
      <c r="C25">
        <v>0.15914786967418551</v>
      </c>
      <c r="D25">
        <v>0</v>
      </c>
      <c r="E25">
        <v>0</v>
      </c>
      <c r="F25">
        <v>0</v>
      </c>
      <c r="G25">
        <v>0.88483965014577259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0.52702702702702697</v>
      </c>
      <c r="O25">
        <v>0</v>
      </c>
      <c r="P25">
        <v>0</v>
      </c>
      <c r="Q25">
        <v>0.72820512820512817</v>
      </c>
      <c r="R25">
        <v>0.54374999999999996</v>
      </c>
      <c r="S25">
        <v>0</v>
      </c>
      <c r="T25">
        <v>0</v>
      </c>
      <c r="U25">
        <v>0</v>
      </c>
      <c r="V25">
        <v>4.3859649122807024E-3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s="1" t="s">
        <v>37</v>
      </c>
      <c r="B26">
        <v>1.016272189349112</v>
      </c>
      <c r="C26">
        <v>0.62155388471177941</v>
      </c>
      <c r="D26">
        <v>0.20370370370370369</v>
      </c>
      <c r="E26">
        <v>1.334426229508197</v>
      </c>
      <c r="F26">
        <v>0.90931372549019607</v>
      </c>
      <c r="G26">
        <v>1.227405247813411</v>
      </c>
      <c r="H26">
        <v>0</v>
      </c>
      <c r="I26">
        <v>0.58816425120772942</v>
      </c>
      <c r="J26">
        <v>0.67236842105263162</v>
      </c>
      <c r="K26">
        <v>0.98130841121495327</v>
      </c>
      <c r="L26">
        <v>1.0398773006134969</v>
      </c>
      <c r="M26">
        <v>0</v>
      </c>
      <c r="N26">
        <v>0.56891891891891888</v>
      </c>
      <c r="O26">
        <v>0</v>
      </c>
      <c r="P26">
        <v>0.90625</v>
      </c>
      <c r="Q26">
        <v>1.0192307692307689</v>
      </c>
      <c r="R26">
        <v>0.80937499999999996</v>
      </c>
      <c r="S26">
        <v>0</v>
      </c>
      <c r="T26">
        <v>7.7134986225895319E-2</v>
      </c>
      <c r="U26">
        <v>1.26685393258427</v>
      </c>
      <c r="V26">
        <v>0.2807017543859649</v>
      </c>
      <c r="W26">
        <v>0.5149253731343284</v>
      </c>
      <c r="X26">
        <v>0.49475524475524468</v>
      </c>
      <c r="Y26">
        <v>0.7579617834394905</v>
      </c>
      <c r="Z26">
        <v>0</v>
      </c>
    </row>
    <row r="33" spans="2:4" x14ac:dyDescent="0.25">
      <c r="B33" s="2" t="s">
        <v>0</v>
      </c>
      <c r="C33">
        <f>COUNTIFS($B$2:$Z$26,"&gt;-2",$B$2:$Z$26,"&lt;-1.5")/COUNTIF($B$2:$Z$26,"&lt;&gt;0")</f>
        <v>0</v>
      </c>
      <c r="D33">
        <f>SUM($C$33:$C33)</f>
        <v>0</v>
      </c>
    </row>
    <row r="34" spans="2:4" x14ac:dyDescent="0.25">
      <c r="B34" s="2" t="s">
        <v>1</v>
      </c>
      <c r="C34">
        <f>COUNTIFS($B$2:$Z$26,"&gt;-1.5",$B$2:$Z$26,"&lt;-1")/COUNTIF($B$2:$Z$26,"&lt;&gt;0")</f>
        <v>1.3377926421404682E-2</v>
      </c>
      <c r="D34">
        <f>SUM($C$33:$C34)</f>
        <v>1.3377926421404682E-2</v>
      </c>
    </row>
    <row r="35" spans="2:4" x14ac:dyDescent="0.25">
      <c r="B35" s="2" t="s">
        <v>2</v>
      </c>
      <c r="C35">
        <f>COUNTIFS($B$2:$Z$26,"&gt;-1",$B$2:$Z$26,"&lt;-0.5")/COUNTIF($B$2:$Z$26,"&lt;&gt;0")</f>
        <v>5.016722408026756E-2</v>
      </c>
      <c r="D35">
        <f>SUM($C$33:$C35)</f>
        <v>6.354515050167224E-2</v>
      </c>
    </row>
    <row r="36" spans="2:4" x14ac:dyDescent="0.25">
      <c r="B36" s="2" t="s">
        <v>3</v>
      </c>
      <c r="C36">
        <f>COUNTIFS($B$2:$Z$26,"&gt;-0.5",$B$2:$Z$26,"&lt;0")/COUNTIF($B$2:$Z$26,"&lt;&gt;0")</f>
        <v>0.17725752508361203</v>
      </c>
      <c r="D36">
        <f>SUM($C$33:$C36)</f>
        <v>0.24080267558528429</v>
      </c>
    </row>
    <row r="37" spans="2:4" x14ac:dyDescent="0.25">
      <c r="B37" s="2" t="s">
        <v>4</v>
      </c>
      <c r="C37">
        <f>COUNTIFS($B$2:$Z$26,"&gt;0",$B$2:$Z$26,"&lt;0.5")/COUNTIF($B$2:$Z$26,"&lt;&gt;0")</f>
        <v>0.33110367892976589</v>
      </c>
      <c r="D37">
        <f>SUM($C$33:$C37)</f>
        <v>0.57190635451505023</v>
      </c>
    </row>
    <row r="38" spans="2:4" x14ac:dyDescent="0.25">
      <c r="B38" s="2" t="s">
        <v>5</v>
      </c>
      <c r="C38">
        <f>COUNTIFS($B$2:$Z$26,"&gt;0.5",$B$2:$Z$26,"&lt;1")/COUNTIF($B$2:$Z$26,"&lt;&gt;0")</f>
        <v>0.33779264214046822</v>
      </c>
      <c r="D38">
        <f>SUM($C$33:$C38)</f>
        <v>0.90969899665551845</v>
      </c>
    </row>
    <row r="39" spans="2:4" x14ac:dyDescent="0.25">
      <c r="B39" s="2" t="s">
        <v>6</v>
      </c>
      <c r="C39">
        <f>COUNTIFS($B$2:$Z$26,"&gt;1",$B$2:$Z$26,"&lt;1.5")/COUNTIF($B$2:$Z$26,"&lt;&gt;0")</f>
        <v>8.6956521739130432E-2</v>
      </c>
      <c r="D39">
        <f>SUM($C$33:$C39)</f>
        <v>0.99665551839464883</v>
      </c>
    </row>
    <row r="40" spans="2:4" x14ac:dyDescent="0.25">
      <c r="B40" s="2" t="s">
        <v>7</v>
      </c>
      <c r="C40">
        <f>COUNTIFS($B$2:$Z$26,"&gt;1.5",$B$2:$Z$26,"&lt;2")/COUNTIF($B$2:$Z$26,"&lt;&gt;0")</f>
        <v>3.3444816053511705E-3</v>
      </c>
      <c r="D40">
        <f>SUM($C$33:$C40)</f>
        <v>1</v>
      </c>
    </row>
  </sheetData>
  <phoneticPr fontId="2" type="noConversion"/>
  <conditionalFormatting sqref="A1:Z26">
    <cfRule type="cellIs" dxfId="0" priority="1" operator="between">
      <formula>0.5</formula>
      <formula>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FDB2-1CC5-457E-ADBA-7F1FB27A136C}">
  <dimension ref="A1:Z38"/>
  <sheetViews>
    <sheetView workbookViewId="0">
      <selection activeCell="C36" sqref="C36"/>
    </sheetView>
  </sheetViews>
  <sheetFormatPr defaultRowHeight="14.4" x14ac:dyDescent="0.25"/>
  <sheetData>
    <row r="1" spans="1:26" x14ac:dyDescent="0.25">
      <c r="B1" s="1">
        <v>0</v>
      </c>
      <c r="C1" s="1">
        <v>9</v>
      </c>
      <c r="D1" s="1">
        <v>25</v>
      </c>
      <c r="E1" s="1">
        <v>5</v>
      </c>
      <c r="F1" s="1">
        <v>1</v>
      </c>
      <c r="G1" s="1">
        <v>7</v>
      </c>
      <c r="H1" s="1">
        <v>23</v>
      </c>
      <c r="I1" s="1">
        <v>2</v>
      </c>
      <c r="J1" s="1">
        <v>30</v>
      </c>
      <c r="K1" s="1">
        <v>12</v>
      </c>
      <c r="L1" s="1">
        <v>15</v>
      </c>
      <c r="M1" s="1">
        <v>4</v>
      </c>
      <c r="N1" s="1">
        <v>19</v>
      </c>
      <c r="O1" s="1">
        <v>20</v>
      </c>
      <c r="P1" s="1">
        <v>10</v>
      </c>
      <c r="Q1" s="1">
        <v>14</v>
      </c>
      <c r="R1" s="1">
        <v>3</v>
      </c>
      <c r="S1" s="1">
        <v>16</v>
      </c>
      <c r="T1" s="1">
        <v>21</v>
      </c>
      <c r="U1" s="1">
        <v>18</v>
      </c>
      <c r="V1" s="1">
        <v>28</v>
      </c>
      <c r="W1" s="1">
        <v>24</v>
      </c>
      <c r="X1" s="1">
        <v>6</v>
      </c>
      <c r="Y1" s="1">
        <v>27</v>
      </c>
      <c r="Z1" s="1">
        <v>29</v>
      </c>
    </row>
    <row r="2" spans="1:26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s="1">
        <v>9</v>
      </c>
      <c r="B3">
        <v>0.83653310276347503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0.81241659586494031</v>
      </c>
      <c r="O3">
        <v>0</v>
      </c>
      <c r="P3">
        <v>0</v>
      </c>
      <c r="Q3">
        <v>0</v>
      </c>
      <c r="R3">
        <v>0.82720981594175103</v>
      </c>
      <c r="S3">
        <v>0</v>
      </c>
      <c r="T3">
        <v>0</v>
      </c>
      <c r="U3">
        <v>0</v>
      </c>
      <c r="V3">
        <v>0.82496279286362273</v>
      </c>
      <c r="W3">
        <v>0</v>
      </c>
      <c r="X3">
        <v>0</v>
      </c>
      <c r="Y3">
        <v>0</v>
      </c>
      <c r="Z3">
        <v>0</v>
      </c>
    </row>
    <row r="4" spans="1:26" x14ac:dyDescent="0.25">
      <c r="A4" s="1">
        <v>25</v>
      </c>
      <c r="B4">
        <v>0.80587674412854327</v>
      </c>
      <c r="C4">
        <v>0.77731604130943321</v>
      </c>
      <c r="D4">
        <v>0</v>
      </c>
      <c r="E4">
        <v>0</v>
      </c>
      <c r="F4">
        <v>0</v>
      </c>
      <c r="G4">
        <v>0.77135512458687272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0.78522934510901166</v>
      </c>
      <c r="O4">
        <v>0</v>
      </c>
      <c r="P4">
        <v>0</v>
      </c>
      <c r="Q4">
        <v>0.77229828314903459</v>
      </c>
      <c r="R4">
        <v>0.78746945858001705</v>
      </c>
      <c r="S4">
        <v>0</v>
      </c>
      <c r="T4">
        <v>0.74529143519309593</v>
      </c>
      <c r="U4">
        <v>0</v>
      </c>
      <c r="V4">
        <v>0.80567276800236509</v>
      </c>
      <c r="W4">
        <v>0</v>
      </c>
      <c r="X4">
        <v>0</v>
      </c>
      <c r="Y4">
        <v>0.78853105663493939</v>
      </c>
      <c r="Z4">
        <v>0</v>
      </c>
    </row>
    <row r="5" spans="1:26" x14ac:dyDescent="0.25">
      <c r="A5" s="1">
        <v>5</v>
      </c>
      <c r="B5">
        <v>0.83279776264577221</v>
      </c>
      <c r="C5">
        <v>0.77152963329974866</v>
      </c>
      <c r="D5">
        <v>0.81809721611164232</v>
      </c>
      <c r="E5">
        <v>0</v>
      </c>
      <c r="F5">
        <v>0.76931077709384998</v>
      </c>
      <c r="G5">
        <v>0.80323201070374028</v>
      </c>
      <c r="H5">
        <v>0</v>
      </c>
      <c r="I5">
        <v>0.78515850799383169</v>
      </c>
      <c r="J5">
        <v>0.795638801392756</v>
      </c>
      <c r="K5">
        <v>0.79943147570916051</v>
      </c>
      <c r="L5">
        <v>0</v>
      </c>
      <c r="M5">
        <v>0</v>
      </c>
      <c r="N5">
        <v>0.7962799948614997</v>
      </c>
      <c r="O5">
        <v>0</v>
      </c>
      <c r="P5">
        <v>0.78345483272439909</v>
      </c>
      <c r="Q5">
        <v>0.79486123361648653</v>
      </c>
      <c r="R5">
        <v>0.8187784609384835</v>
      </c>
      <c r="S5">
        <v>0</v>
      </c>
      <c r="T5">
        <v>0.75570627940259361</v>
      </c>
      <c r="U5">
        <v>0.78881850252660468</v>
      </c>
      <c r="V5">
        <v>0.82643761838737284</v>
      </c>
      <c r="W5">
        <v>0.80131945710870167</v>
      </c>
      <c r="X5">
        <v>0.81369606348184442</v>
      </c>
      <c r="Y5">
        <v>0.80271819442700432</v>
      </c>
      <c r="Z5">
        <v>0</v>
      </c>
    </row>
    <row r="6" spans="1:26" x14ac:dyDescent="0.25">
      <c r="A6" s="1">
        <v>1</v>
      </c>
      <c r="B6">
        <v>0.76094658029149975</v>
      </c>
      <c r="C6">
        <v>0.78237216387476238</v>
      </c>
      <c r="D6">
        <v>0.77686557804465928</v>
      </c>
      <c r="E6">
        <v>0</v>
      </c>
      <c r="F6">
        <v>0</v>
      </c>
      <c r="G6">
        <v>0.76404907925830989</v>
      </c>
      <c r="H6">
        <v>0</v>
      </c>
      <c r="I6">
        <v>0.78039154640718356</v>
      </c>
      <c r="J6">
        <v>0.77065080514079642</v>
      </c>
      <c r="K6">
        <v>0.74497687872325147</v>
      </c>
      <c r="L6">
        <v>0</v>
      </c>
      <c r="M6">
        <v>0</v>
      </c>
      <c r="N6">
        <v>0.75788421832226416</v>
      </c>
      <c r="O6">
        <v>0</v>
      </c>
      <c r="P6">
        <v>0.7805444123223424</v>
      </c>
      <c r="Q6">
        <v>0.76770541362273392</v>
      </c>
      <c r="R6">
        <v>0.75807625111192467</v>
      </c>
      <c r="S6">
        <v>0</v>
      </c>
      <c r="T6">
        <v>0.73400663697358337</v>
      </c>
      <c r="U6">
        <v>0</v>
      </c>
      <c r="V6">
        <v>0.76501279407077361</v>
      </c>
      <c r="W6">
        <v>0</v>
      </c>
      <c r="X6">
        <v>0.75892890864735718</v>
      </c>
      <c r="Y6">
        <v>0.75874945255601478</v>
      </c>
      <c r="Z6">
        <v>0</v>
      </c>
    </row>
    <row r="7" spans="1:26" x14ac:dyDescent="0.25">
      <c r="A7" s="1">
        <v>7</v>
      </c>
      <c r="B7">
        <v>0.85387420054723528</v>
      </c>
      <c r="C7">
        <v>0.82448743653476686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0.81375575210597062</v>
      </c>
      <c r="O7">
        <v>0</v>
      </c>
      <c r="P7">
        <v>0</v>
      </c>
      <c r="Q7">
        <v>0.84528010082550542</v>
      </c>
      <c r="R7">
        <v>0.83467907700687649</v>
      </c>
      <c r="S7">
        <v>0</v>
      </c>
      <c r="T7">
        <v>0</v>
      </c>
      <c r="U7">
        <v>0</v>
      </c>
      <c r="V7">
        <v>0.84293177584458512</v>
      </c>
      <c r="W7">
        <v>0</v>
      </c>
      <c r="X7">
        <v>0</v>
      </c>
      <c r="Y7">
        <v>0</v>
      </c>
      <c r="Z7">
        <v>0</v>
      </c>
    </row>
    <row r="8" spans="1:26" x14ac:dyDescent="0.25">
      <c r="A8" s="1">
        <v>23</v>
      </c>
      <c r="B8">
        <v>0.88223845613073315</v>
      </c>
      <c r="C8">
        <v>0.7956588072585582</v>
      </c>
      <c r="D8">
        <v>0.84351145779644998</v>
      </c>
      <c r="E8">
        <v>0.82417420441987088</v>
      </c>
      <c r="F8">
        <v>0.77641427429283372</v>
      </c>
      <c r="G8">
        <v>0.81245955798785818</v>
      </c>
      <c r="H8">
        <v>0</v>
      </c>
      <c r="I8">
        <v>0.80484666038250574</v>
      </c>
      <c r="J8">
        <v>0.80478908607834265</v>
      </c>
      <c r="K8">
        <v>0.81607430467724429</v>
      </c>
      <c r="L8">
        <v>0.81511951553309625</v>
      </c>
      <c r="M8">
        <v>0</v>
      </c>
      <c r="N8">
        <v>0.82213605054326955</v>
      </c>
      <c r="O8">
        <v>0.84219124711848592</v>
      </c>
      <c r="P8">
        <v>0.79678140104644823</v>
      </c>
      <c r="Q8">
        <v>0.81124041783503997</v>
      </c>
      <c r="R8">
        <v>0.84722922630608077</v>
      </c>
      <c r="S8">
        <v>0</v>
      </c>
      <c r="T8">
        <v>0.76900601699004156</v>
      </c>
      <c r="U8">
        <v>0.809283387962352</v>
      </c>
      <c r="V8">
        <v>0.85589806552518877</v>
      </c>
      <c r="W8">
        <v>0.81822040751205749</v>
      </c>
      <c r="X8">
        <v>0.83441436186537044</v>
      </c>
      <c r="Y8">
        <v>0.82067743760005685</v>
      </c>
      <c r="Z8">
        <v>0.77811141135568307</v>
      </c>
    </row>
    <row r="9" spans="1:26" x14ac:dyDescent="0.25">
      <c r="A9" s="1">
        <v>2</v>
      </c>
      <c r="B9">
        <v>0.85936393981149206</v>
      </c>
      <c r="C9">
        <v>0.8381424582094178</v>
      </c>
      <c r="D9">
        <v>0.84660016985797382</v>
      </c>
      <c r="E9">
        <v>0</v>
      </c>
      <c r="F9">
        <v>0</v>
      </c>
      <c r="G9">
        <v>0.83272223691551051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0.81490118374695653</v>
      </c>
      <c r="O9">
        <v>0</v>
      </c>
      <c r="P9">
        <v>0</v>
      </c>
      <c r="Q9">
        <v>0.83452006440896254</v>
      </c>
      <c r="R9">
        <v>0.84319636337459092</v>
      </c>
      <c r="S9">
        <v>0</v>
      </c>
      <c r="T9">
        <v>0.7737451578303145</v>
      </c>
      <c r="U9">
        <v>0</v>
      </c>
      <c r="V9">
        <v>0.84593885544447867</v>
      </c>
      <c r="W9">
        <v>0</v>
      </c>
      <c r="X9">
        <v>0</v>
      </c>
      <c r="Y9">
        <v>0.82117231788149303</v>
      </c>
      <c r="Z9">
        <v>0</v>
      </c>
    </row>
    <row r="10" spans="1:26" x14ac:dyDescent="0.25">
      <c r="A10" s="1">
        <v>30</v>
      </c>
      <c r="B10">
        <v>0.85573835106643703</v>
      </c>
      <c r="C10">
        <v>0.83246721121900358</v>
      </c>
      <c r="D10">
        <v>0.82794802403323864</v>
      </c>
      <c r="E10">
        <v>0</v>
      </c>
      <c r="F10">
        <v>0</v>
      </c>
      <c r="G10">
        <v>0.84053078632660583</v>
      </c>
      <c r="H10">
        <v>0</v>
      </c>
      <c r="I10">
        <v>0.82327503239475008</v>
      </c>
      <c r="J10">
        <v>0</v>
      </c>
      <c r="K10">
        <v>0.81548743669489088</v>
      </c>
      <c r="L10">
        <v>0</v>
      </c>
      <c r="M10">
        <v>0</v>
      </c>
      <c r="N10">
        <v>0.81498225154103454</v>
      </c>
      <c r="O10">
        <v>0</v>
      </c>
      <c r="P10">
        <v>0</v>
      </c>
      <c r="Q10">
        <v>0.84113059624647479</v>
      </c>
      <c r="R10">
        <v>0.83744122749194505</v>
      </c>
      <c r="S10">
        <v>0</v>
      </c>
      <c r="T10">
        <v>0.76479892773404923</v>
      </c>
      <c r="U10">
        <v>0</v>
      </c>
      <c r="V10">
        <v>0.84206044238213207</v>
      </c>
      <c r="W10">
        <v>0</v>
      </c>
      <c r="X10">
        <v>0.82549181372135672</v>
      </c>
      <c r="Y10">
        <v>0.8185203831856418</v>
      </c>
      <c r="Z10">
        <v>0</v>
      </c>
    </row>
    <row r="11" spans="1:26" x14ac:dyDescent="0.25">
      <c r="A11" s="1">
        <v>12</v>
      </c>
      <c r="B11">
        <v>0.82852144495269953</v>
      </c>
      <c r="C11">
        <v>0.7971766848014411</v>
      </c>
      <c r="D11">
        <v>0.83261879285176599</v>
      </c>
      <c r="E11">
        <v>0</v>
      </c>
      <c r="F11">
        <v>0</v>
      </c>
      <c r="G11">
        <v>0.80558448369579483</v>
      </c>
      <c r="H11">
        <v>0</v>
      </c>
      <c r="I11">
        <v>0.7928729512265339</v>
      </c>
      <c r="J11">
        <v>0</v>
      </c>
      <c r="K11">
        <v>0</v>
      </c>
      <c r="L11">
        <v>0</v>
      </c>
      <c r="M11">
        <v>0</v>
      </c>
      <c r="N11">
        <v>0.8063494605792535</v>
      </c>
      <c r="O11">
        <v>0</v>
      </c>
      <c r="P11">
        <v>0</v>
      </c>
      <c r="Q11">
        <v>0.8104585957832825</v>
      </c>
      <c r="R11">
        <v>0.81942213214933868</v>
      </c>
      <c r="S11">
        <v>0</v>
      </c>
      <c r="T11">
        <v>0.76085183886457086</v>
      </c>
      <c r="U11">
        <v>0</v>
      </c>
      <c r="V11">
        <v>0.82498061238673692</v>
      </c>
      <c r="W11">
        <v>0</v>
      </c>
      <c r="X11">
        <v>0.81872885773231929</v>
      </c>
      <c r="Y11">
        <v>0.81464116313275259</v>
      </c>
      <c r="Z11">
        <v>0</v>
      </c>
    </row>
    <row r="12" spans="1:26" x14ac:dyDescent="0.25">
      <c r="A12" s="1">
        <v>15</v>
      </c>
      <c r="B12">
        <v>0.84352342475800823</v>
      </c>
      <c r="C12">
        <v>0.82528833929159884</v>
      </c>
      <c r="D12">
        <v>0.83537737591556771</v>
      </c>
      <c r="E12">
        <v>0.81242878964689913</v>
      </c>
      <c r="F12">
        <v>0.79119973673540001</v>
      </c>
      <c r="G12">
        <v>0.83309790135820128</v>
      </c>
      <c r="H12">
        <v>0</v>
      </c>
      <c r="I12">
        <v>0.81047433960265003</v>
      </c>
      <c r="J12">
        <v>0.83989956567161961</v>
      </c>
      <c r="K12">
        <v>0.80450580963093177</v>
      </c>
      <c r="L12">
        <v>0</v>
      </c>
      <c r="M12">
        <v>0</v>
      </c>
      <c r="N12">
        <v>0.80820768008360988</v>
      </c>
      <c r="O12">
        <v>0</v>
      </c>
      <c r="P12">
        <v>0.81696912201328409</v>
      </c>
      <c r="Q12">
        <v>0.83962723459952915</v>
      </c>
      <c r="R12">
        <v>0.81995447985827918</v>
      </c>
      <c r="S12">
        <v>0</v>
      </c>
      <c r="T12">
        <v>0.76121228030233667</v>
      </c>
      <c r="U12">
        <v>0.84019744011123532</v>
      </c>
      <c r="V12">
        <v>0.8224485912169629</v>
      </c>
      <c r="W12">
        <v>0.83340459765486452</v>
      </c>
      <c r="X12">
        <v>0.82743305947397139</v>
      </c>
      <c r="Y12">
        <v>0.8086601055351792</v>
      </c>
      <c r="Z12">
        <v>0</v>
      </c>
    </row>
    <row r="13" spans="1:26" x14ac:dyDescent="0.25">
      <c r="A13" s="1">
        <v>4</v>
      </c>
      <c r="B13">
        <v>0.84948762475386175</v>
      </c>
      <c r="C13">
        <v>0.82375232214318184</v>
      </c>
      <c r="D13">
        <v>0.84126841706573652</v>
      </c>
      <c r="E13">
        <v>0.82424470117834747</v>
      </c>
      <c r="F13">
        <v>0.79421095520842311</v>
      </c>
      <c r="G13">
        <v>0.84388512998558685</v>
      </c>
      <c r="H13">
        <v>0.83153503656027183</v>
      </c>
      <c r="I13">
        <v>0.81661645434616847</v>
      </c>
      <c r="J13">
        <v>0.84379074949967237</v>
      </c>
      <c r="K13">
        <v>0.81086550889728226</v>
      </c>
      <c r="L13">
        <v>0.85055483246873498</v>
      </c>
      <c r="M13">
        <v>0</v>
      </c>
      <c r="N13">
        <v>0.81194664505687919</v>
      </c>
      <c r="O13">
        <v>0.82474115994330999</v>
      </c>
      <c r="P13">
        <v>0.8155438182875514</v>
      </c>
      <c r="Q13">
        <v>0.84597075596833837</v>
      </c>
      <c r="R13">
        <v>0.83016911540180449</v>
      </c>
      <c r="S13">
        <v>0</v>
      </c>
      <c r="T13">
        <v>0.76411589700985216</v>
      </c>
      <c r="U13">
        <v>0.845282484892379</v>
      </c>
      <c r="V13">
        <v>0.83948548782987209</v>
      </c>
      <c r="W13">
        <v>0.83726618183192925</v>
      </c>
      <c r="X13">
        <v>0.82685910675909136</v>
      </c>
      <c r="Y13">
        <v>0.82208661554725304</v>
      </c>
      <c r="Z13">
        <v>0.77740598205141542</v>
      </c>
    </row>
    <row r="14" spans="1:26" x14ac:dyDescent="0.25">
      <c r="A14" s="1">
        <v>19</v>
      </c>
      <c r="B14">
        <v>0.84668128412856147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0.8299248619005084</v>
      </c>
      <c r="S14">
        <v>0</v>
      </c>
      <c r="T14">
        <v>0</v>
      </c>
      <c r="U14">
        <v>0</v>
      </c>
      <c r="V14">
        <v>0.83063506173808677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s="1">
        <v>20</v>
      </c>
      <c r="B15">
        <v>0.91194149710722927</v>
      </c>
      <c r="C15">
        <v>0.8236859127094871</v>
      </c>
      <c r="D15">
        <v>0.84962896979044356</v>
      </c>
      <c r="E15">
        <v>0.8342488511663968</v>
      </c>
      <c r="F15">
        <v>0.78785795031809336</v>
      </c>
      <c r="G15">
        <v>0.82456002560370867</v>
      </c>
      <c r="H15">
        <v>0</v>
      </c>
      <c r="I15">
        <v>0.82253555514386312</v>
      </c>
      <c r="J15">
        <v>0.82873304109824331</v>
      </c>
      <c r="K15">
        <v>0.8292984698791741</v>
      </c>
      <c r="L15">
        <v>0.83713507798551778</v>
      </c>
      <c r="M15">
        <v>0</v>
      </c>
      <c r="N15">
        <v>0.83681807276364917</v>
      </c>
      <c r="O15">
        <v>0</v>
      </c>
      <c r="P15">
        <v>0.80809390379322898</v>
      </c>
      <c r="Q15">
        <v>0.83211942116419479</v>
      </c>
      <c r="R15">
        <v>0.86262793149799111</v>
      </c>
      <c r="S15">
        <v>0</v>
      </c>
      <c r="T15">
        <v>0.7794082729612829</v>
      </c>
      <c r="U15">
        <v>0.82803743223795734</v>
      </c>
      <c r="V15">
        <v>0.87463332181088405</v>
      </c>
      <c r="W15">
        <v>0.83540443520047769</v>
      </c>
      <c r="X15">
        <v>0.8511824545326766</v>
      </c>
      <c r="Y15">
        <v>0.83681271619098196</v>
      </c>
      <c r="Z15">
        <v>0.78490561896590827</v>
      </c>
    </row>
    <row r="16" spans="1:26" x14ac:dyDescent="0.25">
      <c r="A16" s="1">
        <v>10</v>
      </c>
      <c r="B16">
        <v>0.80825339266534391</v>
      </c>
      <c r="C16">
        <v>0.80622875287120499</v>
      </c>
      <c r="D16">
        <v>0.80958481156636797</v>
      </c>
      <c r="E16">
        <v>0</v>
      </c>
      <c r="F16">
        <v>0</v>
      </c>
      <c r="G16">
        <v>0.80354605080782493</v>
      </c>
      <c r="H16">
        <v>0</v>
      </c>
      <c r="I16">
        <v>0.79695933898865889</v>
      </c>
      <c r="J16">
        <v>0.80503728326998258</v>
      </c>
      <c r="K16">
        <v>0.78269238913913386</v>
      </c>
      <c r="L16">
        <v>0</v>
      </c>
      <c r="M16">
        <v>0</v>
      </c>
      <c r="N16">
        <v>0.78898138420001884</v>
      </c>
      <c r="O16">
        <v>0</v>
      </c>
      <c r="P16">
        <v>0</v>
      </c>
      <c r="Q16">
        <v>0.80985764433176088</v>
      </c>
      <c r="R16">
        <v>0.79280730430036783</v>
      </c>
      <c r="S16">
        <v>0</v>
      </c>
      <c r="T16">
        <v>0.7547158843558025</v>
      </c>
      <c r="U16">
        <v>0</v>
      </c>
      <c r="V16">
        <v>0.80387784409941287</v>
      </c>
      <c r="W16">
        <v>0</v>
      </c>
      <c r="X16">
        <v>0.79969369479409469</v>
      </c>
      <c r="Y16">
        <v>0.78747357475529811</v>
      </c>
      <c r="Z16">
        <v>0</v>
      </c>
    </row>
    <row r="17" spans="1:26" x14ac:dyDescent="0.25">
      <c r="A17" s="1">
        <v>14</v>
      </c>
      <c r="B17">
        <v>0.85124781489724943</v>
      </c>
      <c r="C17">
        <v>0.81701363253414183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0.81599457425040167</v>
      </c>
      <c r="O17">
        <v>0</v>
      </c>
      <c r="P17">
        <v>0</v>
      </c>
      <c r="Q17">
        <v>0</v>
      </c>
      <c r="R17">
        <v>0.82854057811200621</v>
      </c>
      <c r="S17">
        <v>0</v>
      </c>
      <c r="T17">
        <v>0</v>
      </c>
      <c r="U17">
        <v>0</v>
      </c>
      <c r="V17">
        <v>0.83666862712966072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s="1">
        <v>3</v>
      </c>
      <c r="B18">
        <v>0.87288886502649654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0.85317344118280025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s="1">
        <v>16</v>
      </c>
      <c r="B19">
        <v>0.8603019740807234</v>
      </c>
      <c r="C19">
        <v>0.80009676713991285</v>
      </c>
      <c r="D19">
        <v>0.83502180488021283</v>
      </c>
      <c r="E19">
        <v>0.82033464947684864</v>
      </c>
      <c r="F19">
        <v>0.7829224847111047</v>
      </c>
      <c r="G19">
        <v>0.81105414701967826</v>
      </c>
      <c r="H19">
        <v>0.83946529102829648</v>
      </c>
      <c r="I19">
        <v>0.79875512082795586</v>
      </c>
      <c r="J19">
        <v>0.80853786217538937</v>
      </c>
      <c r="K19">
        <v>0.81346374397337251</v>
      </c>
      <c r="L19">
        <v>0.81903172206659258</v>
      </c>
      <c r="M19">
        <v>0.80436885342258202</v>
      </c>
      <c r="N19">
        <v>0.8071514314896352</v>
      </c>
      <c r="O19">
        <v>0.82806932469746009</v>
      </c>
      <c r="P19">
        <v>0.79230880737304688</v>
      </c>
      <c r="Q19">
        <v>0.8113972373497792</v>
      </c>
      <c r="R19">
        <v>0.83455141261219978</v>
      </c>
      <c r="S19">
        <v>0</v>
      </c>
      <c r="T19">
        <v>0.76559417257624229</v>
      </c>
      <c r="U19">
        <v>0.8062073141336441</v>
      </c>
      <c r="V19">
        <v>0.84746689362484107</v>
      </c>
      <c r="W19">
        <v>0.81428710412030192</v>
      </c>
      <c r="X19">
        <v>0.82768662503132451</v>
      </c>
      <c r="Y19">
        <v>0.8202404719629105</v>
      </c>
      <c r="Z19">
        <v>0.77687203418022088</v>
      </c>
    </row>
    <row r="20" spans="1:26" x14ac:dyDescent="0.25">
      <c r="A20" s="1">
        <v>21</v>
      </c>
      <c r="B20">
        <v>0.78371945852358671</v>
      </c>
      <c r="C20">
        <v>0.77178070270327992</v>
      </c>
      <c r="D20">
        <v>0</v>
      </c>
      <c r="E20">
        <v>0</v>
      </c>
      <c r="F20">
        <v>0</v>
      </c>
      <c r="G20">
        <v>0.76799147782450861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0.78325033123428756</v>
      </c>
      <c r="O20">
        <v>0</v>
      </c>
      <c r="P20">
        <v>0</v>
      </c>
      <c r="Q20">
        <v>0.7662591575047909</v>
      </c>
      <c r="R20">
        <v>0.77730901334434743</v>
      </c>
      <c r="S20">
        <v>0</v>
      </c>
      <c r="T20">
        <v>0</v>
      </c>
      <c r="U20">
        <v>0</v>
      </c>
      <c r="V20">
        <v>0.78537539850201521</v>
      </c>
      <c r="W20">
        <v>0</v>
      </c>
      <c r="X20">
        <v>0</v>
      </c>
      <c r="Y20">
        <v>0.77984233656126978</v>
      </c>
      <c r="Z20">
        <v>0</v>
      </c>
    </row>
    <row r="21" spans="1:26" x14ac:dyDescent="0.25">
      <c r="A21" s="1">
        <v>18</v>
      </c>
      <c r="B21">
        <v>0.84262976103280418</v>
      </c>
      <c r="C21">
        <v>0.82665908874425675</v>
      </c>
      <c r="D21">
        <v>0.82911590829728143</v>
      </c>
      <c r="E21">
        <v>0</v>
      </c>
      <c r="F21">
        <v>0.80244210245562531</v>
      </c>
      <c r="G21">
        <v>0.83525191095410556</v>
      </c>
      <c r="H21">
        <v>0</v>
      </c>
      <c r="I21">
        <v>0.81855666047133113</v>
      </c>
      <c r="J21">
        <v>0.83631053629674412</v>
      </c>
      <c r="K21">
        <v>0.80882615705145477</v>
      </c>
      <c r="L21">
        <v>0</v>
      </c>
      <c r="M21">
        <v>0</v>
      </c>
      <c r="N21">
        <v>0.80813484723503526</v>
      </c>
      <c r="O21">
        <v>0</v>
      </c>
      <c r="P21">
        <v>0.81889481604513192</v>
      </c>
      <c r="Q21">
        <v>0.84165424032089042</v>
      </c>
      <c r="R21">
        <v>0.82497090725228195</v>
      </c>
      <c r="S21">
        <v>0</v>
      </c>
      <c r="T21">
        <v>0.76306266421785696</v>
      </c>
      <c r="U21">
        <v>0</v>
      </c>
      <c r="V21">
        <v>0.82688015786527891</v>
      </c>
      <c r="W21">
        <v>0</v>
      </c>
      <c r="X21">
        <v>0.82209137644801111</v>
      </c>
      <c r="Y21">
        <v>0.81151753474193011</v>
      </c>
      <c r="Z21">
        <v>0</v>
      </c>
    </row>
    <row r="22" spans="1:26" x14ac:dyDescent="0.25">
      <c r="A22" s="1">
        <v>28</v>
      </c>
      <c r="B22">
        <v>0.8958450311563424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1">
        <v>24</v>
      </c>
      <c r="B23">
        <v>0.88239482115711687</v>
      </c>
      <c r="C23">
        <v>0.83195638178583975</v>
      </c>
      <c r="D23">
        <v>0.84701407933361317</v>
      </c>
      <c r="E23">
        <v>0</v>
      </c>
      <c r="F23">
        <v>0.80467595247661361</v>
      </c>
      <c r="G23">
        <v>0.85324529673545768</v>
      </c>
      <c r="H23">
        <v>0</v>
      </c>
      <c r="I23">
        <v>0.82999038343556264</v>
      </c>
      <c r="J23">
        <v>0.85135257683302223</v>
      </c>
      <c r="K23">
        <v>0.81902434224280241</v>
      </c>
      <c r="L23">
        <v>0</v>
      </c>
      <c r="M23">
        <v>0</v>
      </c>
      <c r="N23">
        <v>0.82005344750107945</v>
      </c>
      <c r="O23">
        <v>0</v>
      </c>
      <c r="P23">
        <v>0.82756142835650182</v>
      </c>
      <c r="Q23">
        <v>0.85551319626661448</v>
      </c>
      <c r="R23">
        <v>0.84479407947510476</v>
      </c>
      <c r="S23">
        <v>0</v>
      </c>
      <c r="T23">
        <v>0.76904899144632433</v>
      </c>
      <c r="U23">
        <v>0.85011469572782516</v>
      </c>
      <c r="V23">
        <v>0.8628659778171115</v>
      </c>
      <c r="W23">
        <v>0</v>
      </c>
      <c r="X23">
        <v>0.83770623240437536</v>
      </c>
      <c r="Y23">
        <v>0.82580724235173242</v>
      </c>
      <c r="Z23">
        <v>0</v>
      </c>
    </row>
    <row r="24" spans="1:26" x14ac:dyDescent="0.25">
      <c r="A24" s="1">
        <v>6</v>
      </c>
      <c r="B24">
        <v>0.84514407840000805</v>
      </c>
      <c r="C24">
        <v>0.78147633138455841</v>
      </c>
      <c r="D24">
        <v>0.83297479783416428</v>
      </c>
      <c r="E24">
        <v>0</v>
      </c>
      <c r="F24">
        <v>0</v>
      </c>
      <c r="G24">
        <v>0.80064913647862979</v>
      </c>
      <c r="H24">
        <v>0</v>
      </c>
      <c r="I24">
        <v>0.79140520124619707</v>
      </c>
      <c r="J24">
        <v>0</v>
      </c>
      <c r="K24">
        <v>0</v>
      </c>
      <c r="L24">
        <v>0</v>
      </c>
      <c r="M24">
        <v>0</v>
      </c>
      <c r="N24">
        <v>0.80907094140310543</v>
      </c>
      <c r="O24">
        <v>0</v>
      </c>
      <c r="P24">
        <v>0</v>
      </c>
      <c r="Q24">
        <v>0.79888610870410237</v>
      </c>
      <c r="R24">
        <v>0.8254291694611311</v>
      </c>
      <c r="S24">
        <v>0</v>
      </c>
      <c r="T24">
        <v>0.76455437693714112</v>
      </c>
      <c r="U24">
        <v>0</v>
      </c>
      <c r="V24">
        <v>0.83080232274114041</v>
      </c>
      <c r="W24">
        <v>0</v>
      </c>
      <c r="X24">
        <v>0</v>
      </c>
      <c r="Y24">
        <v>0.81324492594239062</v>
      </c>
      <c r="Z24">
        <v>0</v>
      </c>
    </row>
    <row r="25" spans="1:26" x14ac:dyDescent="0.25">
      <c r="A25" s="1">
        <v>27</v>
      </c>
      <c r="B25">
        <v>0.83258278712013067</v>
      </c>
      <c r="C25">
        <v>0.79704720289784869</v>
      </c>
      <c r="D25">
        <v>0</v>
      </c>
      <c r="E25">
        <v>0</v>
      </c>
      <c r="F25">
        <v>0</v>
      </c>
      <c r="G25">
        <v>0.79109594304081998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0.7982728933160369</v>
      </c>
      <c r="O25">
        <v>0</v>
      </c>
      <c r="P25">
        <v>0</v>
      </c>
      <c r="Q25">
        <v>0.78662539980350399</v>
      </c>
      <c r="R25">
        <v>0.81659638900309806</v>
      </c>
      <c r="S25">
        <v>0</v>
      </c>
      <c r="T25">
        <v>0</v>
      </c>
      <c r="U25">
        <v>0</v>
      </c>
      <c r="V25">
        <v>0.82121797271987851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s="1">
        <v>29</v>
      </c>
      <c r="B26">
        <v>0.80490501048649554</v>
      </c>
      <c r="C26">
        <v>0.78909931042439363</v>
      </c>
      <c r="D26">
        <v>0.82259297370910645</v>
      </c>
      <c r="E26">
        <v>0.80392626953906698</v>
      </c>
      <c r="F26">
        <v>0.77647911888711596</v>
      </c>
      <c r="G26">
        <v>0.77924987630315845</v>
      </c>
      <c r="H26">
        <v>0</v>
      </c>
      <c r="I26">
        <v>0.77640253334229692</v>
      </c>
      <c r="J26">
        <v>0.78813766068533853</v>
      </c>
      <c r="K26">
        <v>0.79002029056489653</v>
      </c>
      <c r="L26">
        <v>0.78946083884663376</v>
      </c>
      <c r="M26">
        <v>0</v>
      </c>
      <c r="N26">
        <v>0.78904266929304279</v>
      </c>
      <c r="O26">
        <v>0</v>
      </c>
      <c r="P26">
        <v>0.78300138831966448</v>
      </c>
      <c r="Q26">
        <v>0.77878190317215068</v>
      </c>
      <c r="R26">
        <v>0.79613321200013165</v>
      </c>
      <c r="S26">
        <v>0</v>
      </c>
      <c r="T26">
        <v>0.764774890067492</v>
      </c>
      <c r="U26">
        <v>0.77978030299202783</v>
      </c>
      <c r="V26">
        <v>0.81110977847673738</v>
      </c>
      <c r="W26">
        <v>0.78017612239021572</v>
      </c>
      <c r="X26">
        <v>0.80054362503798693</v>
      </c>
      <c r="Y26">
        <v>0.79413962781808933</v>
      </c>
      <c r="Z26">
        <v>0</v>
      </c>
    </row>
    <row r="31" spans="1:26" x14ac:dyDescent="0.25">
      <c r="C31" s="2" t="s">
        <v>8</v>
      </c>
      <c r="D31">
        <f>COUNTIFS($B$2:$Z$26,"&gt;0.5",$B$2:$Z$26,"&lt;0.6")/COUNTIF($B$2:$Z$26,"&lt;&gt;0")</f>
        <v>0</v>
      </c>
      <c r="E31">
        <f>SUM($D31:$D$31)</f>
        <v>0</v>
      </c>
    </row>
    <row r="32" spans="1:26" x14ac:dyDescent="0.25">
      <c r="C32" s="2" t="s">
        <v>9</v>
      </c>
      <c r="D32">
        <f>COUNTIFS($B$2:$Z$26,"&gt;0.6",$B$2:$Z$26,"&lt;0.7")/COUNTIF($B$2:$Z$26,"&lt;&gt;0")</f>
        <v>0</v>
      </c>
      <c r="E32">
        <f>SUM($D$31:$D32)</f>
        <v>0</v>
      </c>
    </row>
    <row r="33" spans="3:5" x14ac:dyDescent="0.25">
      <c r="C33" s="2" t="s">
        <v>10</v>
      </c>
      <c r="D33">
        <f>COUNTIFS($B$2:$Z$26,"&gt;0.7",$B$2:$Z$26,"&lt;0.8")/COUNTIF($B$2:$Z$26,"&lt;&gt;0")</f>
        <v>0.31666666666666665</v>
      </c>
      <c r="E33">
        <f>SUM($D$31:$D33)</f>
        <v>0.31666666666666665</v>
      </c>
    </row>
    <row r="34" spans="3:5" x14ac:dyDescent="0.25">
      <c r="C34" s="2" t="s">
        <v>11</v>
      </c>
      <c r="D34">
        <f>COUNTIFS($B$2:$Z$26,"&gt;0.8",$B$2:$Z$26,"&lt;0.9")/COUNTIF($B$2:$Z$26,"&lt;&gt;0")</f>
        <v>0.68</v>
      </c>
      <c r="E34">
        <f>SUM($D$31:$D34)</f>
        <v>0.9966666666666667</v>
      </c>
    </row>
    <row r="35" spans="3:5" x14ac:dyDescent="0.25">
      <c r="C35" s="2" t="s">
        <v>12</v>
      </c>
      <c r="D35">
        <f>COUNTIFS($B$2:$Z$26,"&gt;0.9",$B$2:$Z$26,"&lt;1")/COUNTIF($B$2:$Z$26,"&lt;&gt;0")</f>
        <v>3.3333333333333335E-3</v>
      </c>
      <c r="E35">
        <f>SUM($D$31:$D35)</f>
        <v>1</v>
      </c>
    </row>
    <row r="36" spans="3:5" x14ac:dyDescent="0.25">
      <c r="C36" s="2" t="s">
        <v>5</v>
      </c>
      <c r="D36">
        <f>COUNTIFS($B$2:$Z$26,"&gt;0.5",$B$2:$Z$26,"&lt;1")/COUNTIF($B$2:$Z$26,"&lt;&gt;0")</f>
        <v>1</v>
      </c>
      <c r="E36">
        <f>SUM($D$31:$D36)</f>
        <v>2</v>
      </c>
    </row>
    <row r="37" spans="3:5" x14ac:dyDescent="0.25">
      <c r="C37" s="2" t="s">
        <v>6</v>
      </c>
      <c r="D37">
        <f>COUNTIFS($B$2:$Z$26,"&gt;1",$B$2:$Z$26,"&lt;1.5")/COUNTIF($B$2:$Z$26,"&lt;&gt;0")</f>
        <v>0</v>
      </c>
      <c r="E37">
        <f>SUM($D$31:$D37)</f>
        <v>2</v>
      </c>
    </row>
    <row r="38" spans="3:5" x14ac:dyDescent="0.25">
      <c r="C38" s="2" t="s">
        <v>7</v>
      </c>
      <c r="D38">
        <f>COUNTIFS($B$2:$Z$26,"&gt;1.5",$B$2:$Z$26,"&lt;2")/COUNTIF($B$2:$Z$26,"&lt;&gt;0")</f>
        <v>0</v>
      </c>
      <c r="E38">
        <f>SUM($D$31:$D38)</f>
        <v>2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workbookViewId="0">
      <selection activeCell="F22" sqref="A1:Z26"/>
    </sheetView>
  </sheetViews>
  <sheetFormatPr defaultRowHeight="14.4" x14ac:dyDescent="0.25"/>
  <sheetData>
    <row r="1" spans="1:26" x14ac:dyDescent="0.25">
      <c r="B1" s="1">
        <v>0</v>
      </c>
      <c r="C1" s="1">
        <v>9</v>
      </c>
      <c r="D1" s="1">
        <v>25</v>
      </c>
      <c r="E1" s="1">
        <v>5</v>
      </c>
      <c r="F1" s="1">
        <v>1</v>
      </c>
      <c r="G1" s="1">
        <v>7</v>
      </c>
      <c r="H1" s="1">
        <v>23</v>
      </c>
      <c r="I1" s="1">
        <v>2</v>
      </c>
      <c r="J1" s="1">
        <v>30</v>
      </c>
      <c r="K1" s="1">
        <v>12</v>
      </c>
      <c r="L1" s="1">
        <v>15</v>
      </c>
      <c r="M1" s="1">
        <v>4</v>
      </c>
      <c r="N1" s="1">
        <v>19</v>
      </c>
      <c r="O1" s="1">
        <v>20</v>
      </c>
      <c r="P1" s="1">
        <v>10</v>
      </c>
      <c r="Q1" s="1">
        <v>14</v>
      </c>
      <c r="R1" s="1">
        <v>3</v>
      </c>
      <c r="S1" s="1">
        <v>16</v>
      </c>
      <c r="T1" s="1">
        <v>21</v>
      </c>
      <c r="U1" s="1">
        <v>18</v>
      </c>
      <c r="V1" s="1">
        <v>28</v>
      </c>
      <c r="W1" s="1">
        <v>24</v>
      </c>
      <c r="X1" s="1">
        <v>6</v>
      </c>
      <c r="Y1" s="1">
        <v>27</v>
      </c>
      <c r="Z1" s="1">
        <v>29</v>
      </c>
    </row>
    <row r="2" spans="1:26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s="1">
        <v>9</v>
      </c>
      <c r="B3">
        <v>0.83653310276347503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0.81241659586494031</v>
      </c>
      <c r="O3">
        <v>0</v>
      </c>
      <c r="P3">
        <v>0</v>
      </c>
      <c r="Q3">
        <v>0</v>
      </c>
      <c r="R3">
        <v>0.82720981594175103</v>
      </c>
      <c r="S3">
        <v>0</v>
      </c>
      <c r="T3">
        <v>0</v>
      </c>
      <c r="U3">
        <v>0</v>
      </c>
      <c r="V3">
        <v>0.82496279286362273</v>
      </c>
      <c r="W3">
        <v>0</v>
      </c>
      <c r="X3">
        <v>0</v>
      </c>
      <c r="Y3">
        <v>0</v>
      </c>
      <c r="Z3">
        <v>0</v>
      </c>
    </row>
    <row r="4" spans="1:26" x14ac:dyDescent="0.25">
      <c r="A4" s="1">
        <v>25</v>
      </c>
      <c r="B4">
        <v>0.80587674412854327</v>
      </c>
      <c r="C4">
        <v>0.77731604130943321</v>
      </c>
      <c r="D4">
        <v>0</v>
      </c>
      <c r="E4">
        <v>0</v>
      </c>
      <c r="F4">
        <v>0</v>
      </c>
      <c r="G4">
        <v>0.77135512458687272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0.78522934510901166</v>
      </c>
      <c r="O4">
        <v>0</v>
      </c>
      <c r="P4">
        <v>0</v>
      </c>
      <c r="Q4">
        <v>0.77229828314903459</v>
      </c>
      <c r="R4">
        <v>0.78746945858001705</v>
      </c>
      <c r="S4">
        <v>0</v>
      </c>
      <c r="T4">
        <v>0.74529143519309593</v>
      </c>
      <c r="U4">
        <v>0</v>
      </c>
      <c r="V4">
        <v>0.80567276800236509</v>
      </c>
      <c r="W4">
        <v>0</v>
      </c>
      <c r="X4">
        <v>0</v>
      </c>
      <c r="Y4">
        <v>0.78853105663493939</v>
      </c>
      <c r="Z4">
        <v>0</v>
      </c>
    </row>
    <row r="5" spans="1:26" x14ac:dyDescent="0.25">
      <c r="A5" s="1">
        <v>5</v>
      </c>
      <c r="B5">
        <v>0.83279776264577221</v>
      </c>
      <c r="C5">
        <v>0.77152963329974866</v>
      </c>
      <c r="D5">
        <v>0.81809721611164232</v>
      </c>
      <c r="E5">
        <v>0</v>
      </c>
      <c r="F5">
        <v>0.76931077709384998</v>
      </c>
      <c r="G5">
        <v>0.80323201070374028</v>
      </c>
      <c r="H5">
        <v>0</v>
      </c>
      <c r="I5">
        <v>0.78515850799383169</v>
      </c>
      <c r="J5">
        <v>0.795638801392756</v>
      </c>
      <c r="K5">
        <v>0.79943147570916051</v>
      </c>
      <c r="L5">
        <v>0</v>
      </c>
      <c r="M5">
        <v>0</v>
      </c>
      <c r="N5">
        <v>0.7962799948614997</v>
      </c>
      <c r="O5">
        <v>0</v>
      </c>
      <c r="P5">
        <v>0.78345483272439909</v>
      </c>
      <c r="Q5">
        <v>0.79486123361648653</v>
      </c>
      <c r="R5">
        <v>0.8187784609384835</v>
      </c>
      <c r="S5">
        <v>0</v>
      </c>
      <c r="T5">
        <v>0.75570627940259361</v>
      </c>
      <c r="U5">
        <v>0.78881850252660468</v>
      </c>
      <c r="V5">
        <v>0.82643761838737284</v>
      </c>
      <c r="W5">
        <v>0.80131945710870167</v>
      </c>
      <c r="X5">
        <v>0.81369606348184442</v>
      </c>
      <c r="Y5">
        <v>0.80271819442700432</v>
      </c>
      <c r="Z5">
        <v>0</v>
      </c>
    </row>
    <row r="6" spans="1:26" x14ac:dyDescent="0.25">
      <c r="A6" s="1">
        <v>1</v>
      </c>
      <c r="B6">
        <v>0.76094658029149975</v>
      </c>
      <c r="C6">
        <v>0.78237216387476238</v>
      </c>
      <c r="D6">
        <v>0.77686557804465928</v>
      </c>
      <c r="E6">
        <v>0</v>
      </c>
      <c r="F6">
        <v>0</v>
      </c>
      <c r="G6">
        <v>0.76404907925830989</v>
      </c>
      <c r="H6">
        <v>0</v>
      </c>
      <c r="I6">
        <v>0.78039154640718356</v>
      </c>
      <c r="J6">
        <v>0.77065080514079642</v>
      </c>
      <c r="K6">
        <v>0.74497687872325147</v>
      </c>
      <c r="L6">
        <v>0</v>
      </c>
      <c r="M6">
        <v>0</v>
      </c>
      <c r="N6">
        <v>0.75788421832226416</v>
      </c>
      <c r="O6">
        <v>0</v>
      </c>
      <c r="P6">
        <v>0.7805444123223424</v>
      </c>
      <c r="Q6">
        <v>0.76770541362273392</v>
      </c>
      <c r="R6">
        <v>0.75807625111192467</v>
      </c>
      <c r="S6">
        <v>0</v>
      </c>
      <c r="T6">
        <v>0.73400663697358337</v>
      </c>
      <c r="U6">
        <v>0</v>
      </c>
      <c r="V6">
        <v>0.76501279407077361</v>
      </c>
      <c r="W6">
        <v>0</v>
      </c>
      <c r="X6">
        <v>0.75892890864735718</v>
      </c>
      <c r="Y6">
        <v>0.75874945255601478</v>
      </c>
      <c r="Z6">
        <v>0</v>
      </c>
    </row>
    <row r="7" spans="1:26" x14ac:dyDescent="0.25">
      <c r="A7" s="1">
        <v>7</v>
      </c>
      <c r="B7">
        <v>0.85387420054723528</v>
      </c>
      <c r="C7">
        <v>0.82448743653476686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0.81375575210597062</v>
      </c>
      <c r="O7">
        <v>0</v>
      </c>
      <c r="P7">
        <v>0</v>
      </c>
      <c r="Q7">
        <v>0.84528010082550542</v>
      </c>
      <c r="R7">
        <v>0.83467907700687649</v>
      </c>
      <c r="S7">
        <v>0</v>
      </c>
      <c r="T7">
        <v>0</v>
      </c>
      <c r="U7">
        <v>0</v>
      </c>
      <c r="V7">
        <v>0.84293177584458512</v>
      </c>
      <c r="W7">
        <v>0</v>
      </c>
      <c r="X7">
        <v>0</v>
      </c>
      <c r="Y7">
        <v>0</v>
      </c>
      <c r="Z7">
        <v>0</v>
      </c>
    </row>
    <row r="8" spans="1:26" x14ac:dyDescent="0.25">
      <c r="A8" s="1">
        <v>23</v>
      </c>
      <c r="B8">
        <v>0.88223845613073315</v>
      </c>
      <c r="C8">
        <v>0.7956588072585582</v>
      </c>
      <c r="D8">
        <v>0.84351145779644998</v>
      </c>
      <c r="E8">
        <v>0.82417420441987088</v>
      </c>
      <c r="F8">
        <v>0.77641427429283372</v>
      </c>
      <c r="G8">
        <v>0.81245955798785818</v>
      </c>
      <c r="H8">
        <v>0</v>
      </c>
      <c r="I8">
        <v>0.80484666038250574</v>
      </c>
      <c r="J8">
        <v>0.80478908607834265</v>
      </c>
      <c r="K8">
        <v>0.81607430467724429</v>
      </c>
      <c r="L8">
        <v>0.81511951553309625</v>
      </c>
      <c r="M8">
        <v>0</v>
      </c>
      <c r="N8">
        <v>0.82213605054326955</v>
      </c>
      <c r="O8">
        <v>0.84219124711848592</v>
      </c>
      <c r="P8">
        <v>0.79678140104644823</v>
      </c>
      <c r="Q8">
        <v>0.81124041783503997</v>
      </c>
      <c r="R8">
        <v>0.84722922630608077</v>
      </c>
      <c r="S8">
        <v>0</v>
      </c>
      <c r="T8">
        <v>0.76900601699004156</v>
      </c>
      <c r="U8">
        <v>0.809283387962352</v>
      </c>
      <c r="V8">
        <v>0.85589806552518877</v>
      </c>
      <c r="W8">
        <v>0.81822040751205749</v>
      </c>
      <c r="X8">
        <v>0.83441436186537044</v>
      </c>
      <c r="Y8">
        <v>0.82067743760005685</v>
      </c>
      <c r="Z8">
        <v>0.77811141135568307</v>
      </c>
    </row>
    <row r="9" spans="1:26" x14ac:dyDescent="0.25">
      <c r="A9" s="1">
        <v>2</v>
      </c>
      <c r="B9">
        <v>0.85936393981149206</v>
      </c>
      <c r="C9">
        <v>0.8381424582094178</v>
      </c>
      <c r="D9">
        <v>0.84660016985797382</v>
      </c>
      <c r="E9">
        <v>0</v>
      </c>
      <c r="F9">
        <v>0</v>
      </c>
      <c r="G9">
        <v>0.83272223691551051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0.81490118374695653</v>
      </c>
      <c r="O9">
        <v>0</v>
      </c>
      <c r="P9">
        <v>0</v>
      </c>
      <c r="Q9">
        <v>0.83452006440896254</v>
      </c>
      <c r="R9">
        <v>0.84319636337459092</v>
      </c>
      <c r="S9">
        <v>0</v>
      </c>
      <c r="T9">
        <v>0.7737451578303145</v>
      </c>
      <c r="U9">
        <v>0</v>
      </c>
      <c r="V9">
        <v>0.84593885544447867</v>
      </c>
      <c r="W9">
        <v>0</v>
      </c>
      <c r="X9">
        <v>0</v>
      </c>
      <c r="Y9">
        <v>0.82117231788149303</v>
      </c>
      <c r="Z9">
        <v>0</v>
      </c>
    </row>
    <row r="10" spans="1:26" x14ac:dyDescent="0.25">
      <c r="A10" s="1">
        <v>30</v>
      </c>
      <c r="B10">
        <v>0.85573835106643703</v>
      </c>
      <c r="C10">
        <v>0.83246721121900358</v>
      </c>
      <c r="D10">
        <v>0.82794802403323864</v>
      </c>
      <c r="E10">
        <v>0</v>
      </c>
      <c r="F10">
        <v>0</v>
      </c>
      <c r="G10">
        <v>0.84053078632660583</v>
      </c>
      <c r="H10">
        <v>0</v>
      </c>
      <c r="I10">
        <v>0.82327503239475008</v>
      </c>
      <c r="J10">
        <v>0</v>
      </c>
      <c r="K10">
        <v>0.81548743669489088</v>
      </c>
      <c r="L10">
        <v>0</v>
      </c>
      <c r="M10">
        <v>0</v>
      </c>
      <c r="N10">
        <v>0.81498225154103454</v>
      </c>
      <c r="O10">
        <v>0</v>
      </c>
      <c r="P10">
        <v>0</v>
      </c>
      <c r="Q10">
        <v>0.84113059624647479</v>
      </c>
      <c r="R10">
        <v>0.83744122749194505</v>
      </c>
      <c r="S10">
        <v>0</v>
      </c>
      <c r="T10">
        <v>0.76479892773404923</v>
      </c>
      <c r="U10">
        <v>0</v>
      </c>
      <c r="V10">
        <v>0.84206044238213207</v>
      </c>
      <c r="W10">
        <v>0</v>
      </c>
      <c r="X10">
        <v>0.82549181372135672</v>
      </c>
      <c r="Y10">
        <v>0.8185203831856418</v>
      </c>
      <c r="Z10">
        <v>0</v>
      </c>
    </row>
    <row r="11" spans="1:26" x14ac:dyDescent="0.25">
      <c r="A11" s="1">
        <v>12</v>
      </c>
      <c r="B11">
        <v>0.82852144495269953</v>
      </c>
      <c r="C11">
        <v>0.7971766848014411</v>
      </c>
      <c r="D11">
        <v>0.83261879285176599</v>
      </c>
      <c r="E11">
        <v>0</v>
      </c>
      <c r="F11">
        <v>0</v>
      </c>
      <c r="G11">
        <v>0.80558448369579483</v>
      </c>
      <c r="H11">
        <v>0</v>
      </c>
      <c r="I11">
        <v>0.7928729512265339</v>
      </c>
      <c r="J11">
        <v>0</v>
      </c>
      <c r="K11">
        <v>0</v>
      </c>
      <c r="L11">
        <v>0</v>
      </c>
      <c r="M11">
        <v>0</v>
      </c>
      <c r="N11">
        <v>0.8063494605792535</v>
      </c>
      <c r="O11">
        <v>0</v>
      </c>
      <c r="P11">
        <v>0</v>
      </c>
      <c r="Q11">
        <v>0.8104585957832825</v>
      </c>
      <c r="R11">
        <v>0.81942213214933868</v>
      </c>
      <c r="S11">
        <v>0</v>
      </c>
      <c r="T11">
        <v>0.76085183886457086</v>
      </c>
      <c r="U11">
        <v>0</v>
      </c>
      <c r="V11">
        <v>0.82498061238673692</v>
      </c>
      <c r="W11">
        <v>0</v>
      </c>
      <c r="X11">
        <v>0.81872885773231929</v>
      </c>
      <c r="Y11">
        <v>0.81464116313275259</v>
      </c>
      <c r="Z11">
        <v>0</v>
      </c>
    </row>
    <row r="12" spans="1:26" x14ac:dyDescent="0.25">
      <c r="A12" s="1">
        <v>15</v>
      </c>
      <c r="B12">
        <v>0.84352342475800823</v>
      </c>
      <c r="C12">
        <v>0.82528833929159884</v>
      </c>
      <c r="D12">
        <v>0.83537737591556771</v>
      </c>
      <c r="E12">
        <v>0.81242878964689913</v>
      </c>
      <c r="F12">
        <v>0.79119973673540001</v>
      </c>
      <c r="G12">
        <v>0.83309790135820128</v>
      </c>
      <c r="H12">
        <v>0</v>
      </c>
      <c r="I12">
        <v>0.81047433960265003</v>
      </c>
      <c r="J12">
        <v>0.83989956567161961</v>
      </c>
      <c r="K12">
        <v>0.80450580963093177</v>
      </c>
      <c r="L12">
        <v>0</v>
      </c>
      <c r="M12">
        <v>0</v>
      </c>
      <c r="N12">
        <v>0.80820768008360988</v>
      </c>
      <c r="O12">
        <v>0</v>
      </c>
      <c r="P12">
        <v>0.81696912201328409</v>
      </c>
      <c r="Q12">
        <v>0.83962723459952915</v>
      </c>
      <c r="R12">
        <v>0.81995447985827918</v>
      </c>
      <c r="S12">
        <v>0</v>
      </c>
      <c r="T12">
        <v>0.76121228030233667</v>
      </c>
      <c r="U12">
        <v>0.84019744011123532</v>
      </c>
      <c r="V12">
        <v>0.8224485912169629</v>
      </c>
      <c r="W12">
        <v>0.83340459765486452</v>
      </c>
      <c r="X12">
        <v>0.82743305947397139</v>
      </c>
      <c r="Y12">
        <v>0.8086601055351792</v>
      </c>
      <c r="Z12">
        <v>0</v>
      </c>
    </row>
    <row r="13" spans="1:26" x14ac:dyDescent="0.25">
      <c r="A13" s="1">
        <v>4</v>
      </c>
      <c r="B13">
        <v>0.84948762475386175</v>
      </c>
      <c r="C13">
        <v>0.82375232214318184</v>
      </c>
      <c r="D13">
        <v>0.84126841706573652</v>
      </c>
      <c r="E13">
        <v>0.82424470117834747</v>
      </c>
      <c r="F13">
        <v>0.79421095520842311</v>
      </c>
      <c r="G13">
        <v>0.84388512998558685</v>
      </c>
      <c r="H13">
        <v>0.83153503656027183</v>
      </c>
      <c r="I13">
        <v>0.81661645434616847</v>
      </c>
      <c r="J13">
        <v>0.84379074949967237</v>
      </c>
      <c r="K13">
        <v>0.81086550889728226</v>
      </c>
      <c r="L13">
        <v>0.85055483246873498</v>
      </c>
      <c r="M13">
        <v>0</v>
      </c>
      <c r="N13">
        <v>0.81194664505687919</v>
      </c>
      <c r="O13">
        <v>0.82474115994330999</v>
      </c>
      <c r="P13">
        <v>0.8155438182875514</v>
      </c>
      <c r="Q13">
        <v>0.84597075596833837</v>
      </c>
      <c r="R13">
        <v>0.83016911540180449</v>
      </c>
      <c r="S13">
        <v>0</v>
      </c>
      <c r="T13">
        <v>0.76411589700985216</v>
      </c>
      <c r="U13">
        <v>0.845282484892379</v>
      </c>
      <c r="V13">
        <v>0.83948548782987209</v>
      </c>
      <c r="W13">
        <v>0.83726618183192925</v>
      </c>
      <c r="X13">
        <v>0.82685910675909136</v>
      </c>
      <c r="Y13">
        <v>0.82208661554725304</v>
      </c>
      <c r="Z13">
        <v>0.77740598205141542</v>
      </c>
    </row>
    <row r="14" spans="1:26" x14ac:dyDescent="0.25">
      <c r="A14" s="1">
        <v>19</v>
      </c>
      <c r="B14">
        <v>0.84668128412856147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0.8299248619005084</v>
      </c>
      <c r="S14">
        <v>0</v>
      </c>
      <c r="T14">
        <v>0</v>
      </c>
      <c r="U14">
        <v>0</v>
      </c>
      <c r="V14">
        <v>0.83063506173808677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s="1">
        <v>20</v>
      </c>
      <c r="B15">
        <v>0.91194149710722927</v>
      </c>
      <c r="C15">
        <v>0.8236859127094871</v>
      </c>
      <c r="D15">
        <v>0.84962896979044356</v>
      </c>
      <c r="E15">
        <v>0.8342488511663968</v>
      </c>
      <c r="F15">
        <v>0.78785795031809336</v>
      </c>
      <c r="G15">
        <v>0.82456002560370867</v>
      </c>
      <c r="H15">
        <v>0</v>
      </c>
      <c r="I15">
        <v>0.82253555514386312</v>
      </c>
      <c r="J15">
        <v>0.82873304109824331</v>
      </c>
      <c r="K15">
        <v>0.8292984698791741</v>
      </c>
      <c r="L15">
        <v>0.83713507798551778</v>
      </c>
      <c r="M15">
        <v>0</v>
      </c>
      <c r="N15">
        <v>0.83681807276364917</v>
      </c>
      <c r="O15">
        <v>0</v>
      </c>
      <c r="P15">
        <v>0.80809390379322898</v>
      </c>
      <c r="Q15">
        <v>0.83211942116419479</v>
      </c>
      <c r="R15">
        <v>0.86262793149799111</v>
      </c>
      <c r="S15">
        <v>0</v>
      </c>
      <c r="T15">
        <v>0.7794082729612829</v>
      </c>
      <c r="U15">
        <v>0.82803743223795734</v>
      </c>
      <c r="V15">
        <v>0.87463332181088405</v>
      </c>
      <c r="W15">
        <v>0.83540443520047769</v>
      </c>
      <c r="X15">
        <v>0.8511824545326766</v>
      </c>
      <c r="Y15">
        <v>0.83681271619098196</v>
      </c>
      <c r="Z15">
        <v>0.78490561896590827</v>
      </c>
    </row>
    <row r="16" spans="1:26" x14ac:dyDescent="0.25">
      <c r="A16" s="1">
        <v>10</v>
      </c>
      <c r="B16">
        <v>0.80825339266534391</v>
      </c>
      <c r="C16">
        <v>0.80622875287120499</v>
      </c>
      <c r="D16">
        <v>0.80958481156636797</v>
      </c>
      <c r="E16">
        <v>0</v>
      </c>
      <c r="F16">
        <v>0</v>
      </c>
      <c r="G16">
        <v>0.80354605080782493</v>
      </c>
      <c r="H16">
        <v>0</v>
      </c>
      <c r="I16">
        <v>0.79695933898865889</v>
      </c>
      <c r="J16">
        <v>0.80503728326998258</v>
      </c>
      <c r="K16">
        <v>0.78269238913913386</v>
      </c>
      <c r="L16">
        <v>0</v>
      </c>
      <c r="M16">
        <v>0</v>
      </c>
      <c r="N16">
        <v>0.78898138420001884</v>
      </c>
      <c r="O16">
        <v>0</v>
      </c>
      <c r="P16">
        <v>0</v>
      </c>
      <c r="Q16">
        <v>0.80985764433176088</v>
      </c>
      <c r="R16">
        <v>0.79280730430036783</v>
      </c>
      <c r="S16">
        <v>0</v>
      </c>
      <c r="T16">
        <v>0.7547158843558025</v>
      </c>
      <c r="U16">
        <v>0</v>
      </c>
      <c r="V16">
        <v>0.80387784409941287</v>
      </c>
      <c r="W16">
        <v>0</v>
      </c>
      <c r="X16">
        <v>0.79969369479409469</v>
      </c>
      <c r="Y16">
        <v>0.78747357475529811</v>
      </c>
      <c r="Z16">
        <v>0</v>
      </c>
    </row>
    <row r="17" spans="1:26" x14ac:dyDescent="0.25">
      <c r="A17" s="1">
        <v>14</v>
      </c>
      <c r="B17">
        <v>0.85124781489724943</v>
      </c>
      <c r="C17">
        <v>0.81701363253414183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0.81599457425040167</v>
      </c>
      <c r="O17">
        <v>0</v>
      </c>
      <c r="P17">
        <v>0</v>
      </c>
      <c r="Q17">
        <v>0</v>
      </c>
      <c r="R17">
        <v>0.82854057811200621</v>
      </c>
      <c r="S17">
        <v>0</v>
      </c>
      <c r="T17">
        <v>0</v>
      </c>
      <c r="U17">
        <v>0</v>
      </c>
      <c r="V17">
        <v>0.83666862712966072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s="1">
        <v>3</v>
      </c>
      <c r="B18">
        <v>0.87288886502649654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0.85317344118280025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s="1">
        <v>16</v>
      </c>
      <c r="B19">
        <v>0.8603019740807234</v>
      </c>
      <c r="C19">
        <v>0.80009676713991285</v>
      </c>
      <c r="D19">
        <v>0.83502180488021283</v>
      </c>
      <c r="E19">
        <v>0.82033464947684864</v>
      </c>
      <c r="F19">
        <v>0.7829224847111047</v>
      </c>
      <c r="G19">
        <v>0.81105414701967826</v>
      </c>
      <c r="H19">
        <v>0.83946529102829648</v>
      </c>
      <c r="I19">
        <v>0.79875512082795586</v>
      </c>
      <c r="J19">
        <v>0.80853786217538937</v>
      </c>
      <c r="K19">
        <v>0.81346374397337251</v>
      </c>
      <c r="L19">
        <v>0.81903172206659258</v>
      </c>
      <c r="M19">
        <v>0.80436885342258202</v>
      </c>
      <c r="N19">
        <v>0.8071514314896352</v>
      </c>
      <c r="O19">
        <v>0.82806932469746009</v>
      </c>
      <c r="P19">
        <v>0.79230880737304688</v>
      </c>
      <c r="Q19">
        <v>0.8113972373497792</v>
      </c>
      <c r="R19">
        <v>0.83455141261219978</v>
      </c>
      <c r="S19">
        <v>0</v>
      </c>
      <c r="T19">
        <v>0.76559417257624229</v>
      </c>
      <c r="U19">
        <v>0.8062073141336441</v>
      </c>
      <c r="V19">
        <v>0.84746689362484107</v>
      </c>
      <c r="W19">
        <v>0.81428710412030192</v>
      </c>
      <c r="X19">
        <v>0.82768662503132451</v>
      </c>
      <c r="Y19">
        <v>0.8202404719629105</v>
      </c>
      <c r="Z19">
        <v>0.77687203418022088</v>
      </c>
    </row>
    <row r="20" spans="1:26" x14ac:dyDescent="0.25">
      <c r="A20" s="1">
        <v>21</v>
      </c>
      <c r="B20">
        <v>0.78371945852358671</v>
      </c>
      <c r="C20">
        <v>0.77178070270327992</v>
      </c>
      <c r="D20">
        <v>0</v>
      </c>
      <c r="E20">
        <v>0</v>
      </c>
      <c r="F20">
        <v>0</v>
      </c>
      <c r="G20">
        <v>0.76799147782450861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0.78325033123428756</v>
      </c>
      <c r="O20">
        <v>0</v>
      </c>
      <c r="P20">
        <v>0</v>
      </c>
      <c r="Q20">
        <v>0.7662591575047909</v>
      </c>
      <c r="R20">
        <v>0.77730901334434743</v>
      </c>
      <c r="S20">
        <v>0</v>
      </c>
      <c r="T20">
        <v>0</v>
      </c>
      <c r="U20">
        <v>0</v>
      </c>
      <c r="V20">
        <v>0.78537539850201521</v>
      </c>
      <c r="W20">
        <v>0</v>
      </c>
      <c r="X20">
        <v>0</v>
      </c>
      <c r="Y20">
        <v>0.77984233656126978</v>
      </c>
      <c r="Z20">
        <v>0</v>
      </c>
    </row>
    <row r="21" spans="1:26" x14ac:dyDescent="0.25">
      <c r="A21" s="1">
        <v>18</v>
      </c>
      <c r="B21">
        <v>0.84262976103280418</v>
      </c>
      <c r="C21">
        <v>0.82665908874425675</v>
      </c>
      <c r="D21">
        <v>0.82911590829728143</v>
      </c>
      <c r="E21">
        <v>0</v>
      </c>
      <c r="F21">
        <v>0.80244210245562531</v>
      </c>
      <c r="G21">
        <v>0.83525191095410556</v>
      </c>
      <c r="H21">
        <v>0</v>
      </c>
      <c r="I21">
        <v>0.81855666047133113</v>
      </c>
      <c r="J21">
        <v>0.83631053629674412</v>
      </c>
      <c r="K21">
        <v>0.80882615705145477</v>
      </c>
      <c r="L21">
        <v>0</v>
      </c>
      <c r="M21">
        <v>0</v>
      </c>
      <c r="N21">
        <v>0.80813484723503526</v>
      </c>
      <c r="O21">
        <v>0</v>
      </c>
      <c r="P21">
        <v>0.81889481604513192</v>
      </c>
      <c r="Q21">
        <v>0.84165424032089042</v>
      </c>
      <c r="R21">
        <v>0.82497090725228195</v>
      </c>
      <c r="S21">
        <v>0</v>
      </c>
      <c r="T21">
        <v>0.76306266421785696</v>
      </c>
      <c r="U21">
        <v>0</v>
      </c>
      <c r="V21">
        <v>0.82688015786527891</v>
      </c>
      <c r="W21">
        <v>0</v>
      </c>
      <c r="X21">
        <v>0.82209137644801111</v>
      </c>
      <c r="Y21">
        <v>0.81151753474193011</v>
      </c>
      <c r="Z21">
        <v>0</v>
      </c>
    </row>
    <row r="22" spans="1:26" x14ac:dyDescent="0.25">
      <c r="A22" s="1">
        <v>28</v>
      </c>
      <c r="B22">
        <v>0.8958450311563424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1">
        <v>24</v>
      </c>
      <c r="B23">
        <v>0.88239482115711687</v>
      </c>
      <c r="C23">
        <v>0.83195638178583975</v>
      </c>
      <c r="D23">
        <v>0.84701407933361317</v>
      </c>
      <c r="E23">
        <v>0</v>
      </c>
      <c r="F23">
        <v>0.80467595247661361</v>
      </c>
      <c r="G23">
        <v>0.85324529673545768</v>
      </c>
      <c r="H23">
        <v>0</v>
      </c>
      <c r="I23">
        <v>0.82999038343556264</v>
      </c>
      <c r="J23">
        <v>0.85135257683302223</v>
      </c>
      <c r="K23">
        <v>0.81902434224280241</v>
      </c>
      <c r="L23">
        <v>0</v>
      </c>
      <c r="M23">
        <v>0</v>
      </c>
      <c r="N23">
        <v>0.82005344750107945</v>
      </c>
      <c r="O23">
        <v>0</v>
      </c>
      <c r="P23">
        <v>0.82756142835650182</v>
      </c>
      <c r="Q23">
        <v>0.85551319626661448</v>
      </c>
      <c r="R23">
        <v>0.84479407947510476</v>
      </c>
      <c r="S23">
        <v>0</v>
      </c>
      <c r="T23">
        <v>0.76904899144632433</v>
      </c>
      <c r="U23">
        <v>0.85011469572782516</v>
      </c>
      <c r="V23">
        <v>0.8628659778171115</v>
      </c>
      <c r="W23">
        <v>0</v>
      </c>
      <c r="X23">
        <v>0.83770623240437536</v>
      </c>
      <c r="Y23">
        <v>0.82580724235173242</v>
      </c>
      <c r="Z23">
        <v>0</v>
      </c>
    </row>
    <row r="24" spans="1:26" x14ac:dyDescent="0.25">
      <c r="A24" s="1">
        <v>6</v>
      </c>
      <c r="B24">
        <v>0.84514407840000805</v>
      </c>
      <c r="C24">
        <v>0.78147633138455841</v>
      </c>
      <c r="D24">
        <v>0.83297479783416428</v>
      </c>
      <c r="E24">
        <v>0</v>
      </c>
      <c r="F24">
        <v>0</v>
      </c>
      <c r="G24">
        <v>0.80064913647862979</v>
      </c>
      <c r="H24">
        <v>0</v>
      </c>
      <c r="I24">
        <v>0.79140520124619707</v>
      </c>
      <c r="J24">
        <v>0</v>
      </c>
      <c r="K24">
        <v>0</v>
      </c>
      <c r="L24">
        <v>0</v>
      </c>
      <c r="M24">
        <v>0</v>
      </c>
      <c r="N24">
        <v>0.80907094140310543</v>
      </c>
      <c r="O24">
        <v>0</v>
      </c>
      <c r="P24">
        <v>0</v>
      </c>
      <c r="Q24">
        <v>0.79888610870410237</v>
      </c>
      <c r="R24">
        <v>0.8254291694611311</v>
      </c>
      <c r="S24">
        <v>0</v>
      </c>
      <c r="T24">
        <v>0.76455437693714112</v>
      </c>
      <c r="U24">
        <v>0</v>
      </c>
      <c r="V24">
        <v>0.83080232274114041</v>
      </c>
      <c r="W24">
        <v>0</v>
      </c>
      <c r="X24">
        <v>0</v>
      </c>
      <c r="Y24">
        <v>0.81324492594239062</v>
      </c>
      <c r="Z24">
        <v>0</v>
      </c>
    </row>
    <row r="25" spans="1:26" x14ac:dyDescent="0.25">
      <c r="A25" s="1">
        <v>27</v>
      </c>
      <c r="B25">
        <v>0.83258278712013067</v>
      </c>
      <c r="C25">
        <v>0.79704720289784869</v>
      </c>
      <c r="D25">
        <v>0</v>
      </c>
      <c r="E25">
        <v>0</v>
      </c>
      <c r="F25">
        <v>0</v>
      </c>
      <c r="G25">
        <v>0.79109594304081998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0.7982728933160369</v>
      </c>
      <c r="O25">
        <v>0</v>
      </c>
      <c r="P25">
        <v>0</v>
      </c>
      <c r="Q25">
        <v>0.78662539980350399</v>
      </c>
      <c r="R25">
        <v>0.81659638900309806</v>
      </c>
      <c r="S25">
        <v>0</v>
      </c>
      <c r="T25">
        <v>0</v>
      </c>
      <c r="U25">
        <v>0</v>
      </c>
      <c r="V25">
        <v>0.82121797271987851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s="1">
        <v>29</v>
      </c>
      <c r="B26">
        <v>0.80490501048649554</v>
      </c>
      <c r="C26">
        <v>0.78909931042439363</v>
      </c>
      <c r="D26">
        <v>0.82259297370910645</v>
      </c>
      <c r="E26">
        <v>0.80392626953906698</v>
      </c>
      <c r="F26">
        <v>0.77647911888711596</v>
      </c>
      <c r="G26">
        <v>0.77924987630315845</v>
      </c>
      <c r="H26">
        <v>0</v>
      </c>
      <c r="I26">
        <v>0.77640253334229692</v>
      </c>
      <c r="J26">
        <v>0.78813766068533853</v>
      </c>
      <c r="K26">
        <v>0.79002029056489653</v>
      </c>
      <c r="L26">
        <v>0.78946083884663376</v>
      </c>
      <c r="M26">
        <v>0</v>
      </c>
      <c r="N26">
        <v>0.78904266929304279</v>
      </c>
      <c r="O26">
        <v>0</v>
      </c>
      <c r="P26">
        <v>0.78300138831966448</v>
      </c>
      <c r="Q26">
        <v>0.77878190317215068</v>
      </c>
      <c r="R26">
        <v>0.79613321200013165</v>
      </c>
      <c r="S26">
        <v>0</v>
      </c>
      <c r="T26">
        <v>0.764774890067492</v>
      </c>
      <c r="U26">
        <v>0.77978030299202783</v>
      </c>
      <c r="V26">
        <v>0.81110977847673738</v>
      </c>
      <c r="W26">
        <v>0.78017612239021572</v>
      </c>
      <c r="X26">
        <v>0.80054362503798693</v>
      </c>
      <c r="Y26">
        <v>0.79413962781808933</v>
      </c>
      <c r="Z26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"/>
  <sheetViews>
    <sheetView workbookViewId="0">
      <selection activeCell="G26" sqref="A1:Z26"/>
    </sheetView>
  </sheetViews>
  <sheetFormatPr defaultRowHeight="14.4" x14ac:dyDescent="0.25"/>
  <sheetData>
    <row r="1" spans="1:26" x14ac:dyDescent="0.25">
      <c r="B1" s="1">
        <v>0</v>
      </c>
      <c r="C1" s="1">
        <v>9</v>
      </c>
      <c r="D1" s="1">
        <v>25</v>
      </c>
      <c r="E1" s="1">
        <v>5</v>
      </c>
      <c r="F1" s="1">
        <v>1</v>
      </c>
      <c r="G1" s="1">
        <v>7</v>
      </c>
      <c r="H1" s="1">
        <v>23</v>
      </c>
      <c r="I1" s="1">
        <v>2</v>
      </c>
      <c r="J1" s="1">
        <v>30</v>
      </c>
      <c r="K1" s="1">
        <v>12</v>
      </c>
      <c r="L1" s="1">
        <v>15</v>
      </c>
      <c r="M1" s="1">
        <v>4</v>
      </c>
      <c r="N1" s="1">
        <v>19</v>
      </c>
      <c r="O1" s="1">
        <v>20</v>
      </c>
      <c r="P1" s="1">
        <v>10</v>
      </c>
      <c r="Q1" s="1">
        <v>14</v>
      </c>
      <c r="R1" s="1">
        <v>3</v>
      </c>
      <c r="S1" s="1">
        <v>16</v>
      </c>
      <c r="T1" s="1">
        <v>21</v>
      </c>
      <c r="U1" s="1">
        <v>18</v>
      </c>
      <c r="V1" s="1">
        <v>28</v>
      </c>
      <c r="W1" s="1">
        <v>24</v>
      </c>
      <c r="X1" s="1">
        <v>6</v>
      </c>
      <c r="Y1" s="1">
        <v>27</v>
      </c>
      <c r="Z1" s="1">
        <v>29</v>
      </c>
    </row>
    <row r="2" spans="1:26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s="1">
        <v>9</v>
      </c>
      <c r="B3">
        <v>0.35650887573964501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0.46621621621621617</v>
      </c>
      <c r="O3">
        <v>0</v>
      </c>
      <c r="P3">
        <v>0</v>
      </c>
      <c r="Q3">
        <v>0</v>
      </c>
      <c r="R3">
        <v>0.49375000000000002</v>
      </c>
      <c r="S3">
        <v>0</v>
      </c>
      <c r="T3">
        <v>0</v>
      </c>
      <c r="U3">
        <v>0</v>
      </c>
      <c r="V3">
        <v>-2.9239766081871339E-3</v>
      </c>
      <c r="W3">
        <v>0</v>
      </c>
      <c r="X3">
        <v>0</v>
      </c>
      <c r="Y3">
        <v>0</v>
      </c>
      <c r="Z3">
        <v>0</v>
      </c>
    </row>
    <row r="4" spans="1:26" x14ac:dyDescent="0.25">
      <c r="A4" s="1">
        <v>25</v>
      </c>
      <c r="B4">
        <v>0.86538461538461542</v>
      </c>
      <c r="C4">
        <v>0.50250626566416046</v>
      </c>
      <c r="D4">
        <v>0</v>
      </c>
      <c r="E4">
        <v>0</v>
      </c>
      <c r="F4">
        <v>0</v>
      </c>
      <c r="G4">
        <v>1.12536443148688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0.73513513513513518</v>
      </c>
      <c r="O4">
        <v>0</v>
      </c>
      <c r="P4">
        <v>0</v>
      </c>
      <c r="Q4">
        <v>1.038461538461539</v>
      </c>
      <c r="R4">
        <v>0.87343749999999998</v>
      </c>
      <c r="S4">
        <v>0</v>
      </c>
      <c r="T4">
        <v>0.85261707988980717</v>
      </c>
      <c r="U4">
        <v>0</v>
      </c>
      <c r="V4">
        <v>0.2982456140350877</v>
      </c>
      <c r="W4">
        <v>0</v>
      </c>
      <c r="X4">
        <v>0</v>
      </c>
      <c r="Y4">
        <v>1.124203821656051</v>
      </c>
      <c r="Z4">
        <v>0</v>
      </c>
    </row>
    <row r="5" spans="1:26" x14ac:dyDescent="0.25">
      <c r="A5" s="1">
        <v>5</v>
      </c>
      <c r="B5">
        <v>-0.73816568047337283</v>
      </c>
      <c r="C5">
        <v>-0.79949874686716793</v>
      </c>
      <c r="D5">
        <v>-1.1375661375661379</v>
      </c>
      <c r="E5">
        <v>0</v>
      </c>
      <c r="F5">
        <v>-0.30882352941176472</v>
      </c>
      <c r="G5">
        <v>-0.28862973760932947</v>
      </c>
      <c r="H5">
        <v>0</v>
      </c>
      <c r="I5">
        <v>-0.53260869565217395</v>
      </c>
      <c r="J5">
        <v>-0.77763157894736845</v>
      </c>
      <c r="K5">
        <v>-0.52959501557632394</v>
      </c>
      <c r="L5">
        <v>0</v>
      </c>
      <c r="M5">
        <v>0</v>
      </c>
      <c r="N5">
        <v>-0.58243243243243248</v>
      </c>
      <c r="O5">
        <v>0</v>
      </c>
      <c r="P5">
        <v>-0.73611111111111116</v>
      </c>
      <c r="Q5">
        <v>-0.52179487179487183</v>
      </c>
      <c r="R5">
        <v>-0.4921875</v>
      </c>
      <c r="S5">
        <v>0</v>
      </c>
      <c r="T5">
        <v>-0.85399449035812669</v>
      </c>
      <c r="U5">
        <v>-0.199438202247191</v>
      </c>
      <c r="V5">
        <v>-1.445906432748538</v>
      </c>
      <c r="W5">
        <v>-1.227611940298508</v>
      </c>
      <c r="X5">
        <v>-1.061188811188811</v>
      </c>
      <c r="Y5">
        <v>-0.55414012738853502</v>
      </c>
      <c r="Z5">
        <v>0</v>
      </c>
    </row>
    <row r="6" spans="1:26" x14ac:dyDescent="0.25">
      <c r="A6" s="1">
        <v>1</v>
      </c>
      <c r="B6">
        <v>0.59911242603550297</v>
      </c>
      <c r="C6">
        <v>-7.8947368421052627E-2</v>
      </c>
      <c r="D6">
        <v>-3.439153439153439E-2</v>
      </c>
      <c r="E6">
        <v>0</v>
      </c>
      <c r="F6">
        <v>0</v>
      </c>
      <c r="G6">
        <v>0.64868804664723034</v>
      </c>
      <c r="H6">
        <v>0</v>
      </c>
      <c r="I6">
        <v>0.42028985507246369</v>
      </c>
      <c r="J6">
        <v>0.14605263157894741</v>
      </c>
      <c r="K6">
        <v>0.89252336448598135</v>
      </c>
      <c r="L6">
        <v>0</v>
      </c>
      <c r="M6">
        <v>0</v>
      </c>
      <c r="N6">
        <v>0.77567567567567564</v>
      </c>
      <c r="O6">
        <v>0</v>
      </c>
      <c r="P6">
        <v>0.1545138888888889</v>
      </c>
      <c r="Q6">
        <v>0.41025641025641019</v>
      </c>
      <c r="R6">
        <v>0.60468750000000004</v>
      </c>
      <c r="S6">
        <v>0</v>
      </c>
      <c r="T6">
        <v>0.48898071625344353</v>
      </c>
      <c r="U6">
        <v>0</v>
      </c>
      <c r="V6">
        <v>-8.6257309941520463E-2</v>
      </c>
      <c r="W6">
        <v>0</v>
      </c>
      <c r="X6">
        <v>2.2727272727272731E-2</v>
      </c>
      <c r="Y6">
        <v>0.37579617834394913</v>
      </c>
      <c r="Z6">
        <v>0</v>
      </c>
    </row>
    <row r="7" spans="1:26" x14ac:dyDescent="0.25">
      <c r="A7" s="1">
        <v>7</v>
      </c>
      <c r="B7">
        <v>0.25443786982248517</v>
      </c>
      <c r="C7">
        <v>-0.29197994987468667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0.1851351351351351</v>
      </c>
      <c r="O7">
        <v>0</v>
      </c>
      <c r="P7">
        <v>0</v>
      </c>
      <c r="Q7">
        <v>5.5128205128205127E-2</v>
      </c>
      <c r="R7">
        <v>0.17812500000000001</v>
      </c>
      <c r="S7">
        <v>0</v>
      </c>
      <c r="T7">
        <v>0</v>
      </c>
      <c r="U7">
        <v>0</v>
      </c>
      <c r="V7">
        <v>-0.54532163742690054</v>
      </c>
      <c r="W7">
        <v>0</v>
      </c>
      <c r="X7">
        <v>0</v>
      </c>
      <c r="Y7">
        <v>0</v>
      </c>
      <c r="Z7">
        <v>0</v>
      </c>
    </row>
    <row r="8" spans="1:26" x14ac:dyDescent="0.25">
      <c r="A8" s="1">
        <v>23</v>
      </c>
      <c r="B8">
        <v>0.52662721893491127</v>
      </c>
      <c r="C8">
        <v>0.24060150375939851</v>
      </c>
      <c r="D8">
        <v>0.1058201058201058</v>
      </c>
      <c r="E8">
        <v>1.119672131147541</v>
      </c>
      <c r="F8">
        <v>1.3161764705882351</v>
      </c>
      <c r="G8">
        <v>0.83819241982507287</v>
      </c>
      <c r="H8">
        <v>0</v>
      </c>
      <c r="I8">
        <v>0.42028985507246369</v>
      </c>
      <c r="J8">
        <v>1.3644736842105261</v>
      </c>
      <c r="K8">
        <v>0.63084112149532712</v>
      </c>
      <c r="L8">
        <v>1.46319018404908</v>
      </c>
      <c r="M8">
        <v>0</v>
      </c>
      <c r="N8">
        <v>0.47837837837837838</v>
      </c>
      <c r="O8">
        <v>0.1396396396396396</v>
      </c>
      <c r="P8">
        <v>0.89409722222222221</v>
      </c>
      <c r="Q8">
        <v>0.79871794871794877</v>
      </c>
      <c r="R8">
        <v>0.59218749999999998</v>
      </c>
      <c r="S8">
        <v>0</v>
      </c>
      <c r="T8">
        <v>0.20523415977961429</v>
      </c>
      <c r="U8">
        <v>1.117977528089888</v>
      </c>
      <c r="V8">
        <v>-0.32163742690058478</v>
      </c>
      <c r="W8">
        <v>0.52611940298507465</v>
      </c>
      <c r="X8">
        <v>0.11713286713286709</v>
      </c>
      <c r="Y8">
        <v>0.34554140127388527</v>
      </c>
      <c r="Z8">
        <v>0.33056872037914692</v>
      </c>
    </row>
    <row r="9" spans="1:26" x14ac:dyDescent="0.25">
      <c r="A9" s="1">
        <v>2</v>
      </c>
      <c r="B9">
        <v>0.91715976331360949</v>
      </c>
      <c r="C9">
        <v>0.27192982456140352</v>
      </c>
      <c r="D9">
        <v>0.16666666666666671</v>
      </c>
      <c r="E9">
        <v>0</v>
      </c>
      <c r="F9">
        <v>0</v>
      </c>
      <c r="G9">
        <v>0.51603498542274051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0.66081081081081083</v>
      </c>
      <c r="O9">
        <v>0</v>
      </c>
      <c r="P9">
        <v>0</v>
      </c>
      <c r="Q9">
        <v>0.37564102564102558</v>
      </c>
      <c r="R9">
        <v>0.84375</v>
      </c>
      <c r="S9">
        <v>0</v>
      </c>
      <c r="T9">
        <v>0.45867768595041319</v>
      </c>
      <c r="U9">
        <v>0</v>
      </c>
      <c r="V9">
        <v>0.1125730994152047</v>
      </c>
      <c r="W9">
        <v>0</v>
      </c>
      <c r="X9">
        <v>0</v>
      </c>
      <c r="Y9">
        <v>0.58280254777070062</v>
      </c>
      <c r="Z9">
        <v>0</v>
      </c>
    </row>
    <row r="10" spans="1:26" x14ac:dyDescent="0.25">
      <c r="A10" s="1">
        <v>30</v>
      </c>
      <c r="B10">
        <v>0.48668639053254442</v>
      </c>
      <c r="C10">
        <v>1.879699248120301E-2</v>
      </c>
      <c r="D10">
        <v>0.126984126984127</v>
      </c>
      <c r="E10">
        <v>0</v>
      </c>
      <c r="F10">
        <v>0</v>
      </c>
      <c r="G10">
        <v>0.44169096209912528</v>
      </c>
      <c r="H10">
        <v>0</v>
      </c>
      <c r="I10">
        <v>0.51932367149758452</v>
      </c>
      <c r="J10">
        <v>0</v>
      </c>
      <c r="K10">
        <v>0.68068535825545173</v>
      </c>
      <c r="L10">
        <v>0</v>
      </c>
      <c r="M10">
        <v>0</v>
      </c>
      <c r="N10">
        <v>0.83243243243243248</v>
      </c>
      <c r="O10">
        <v>0</v>
      </c>
      <c r="P10">
        <v>0</v>
      </c>
      <c r="Q10">
        <v>0.5115384615384615</v>
      </c>
      <c r="R10">
        <v>0.53437500000000004</v>
      </c>
      <c r="S10">
        <v>0</v>
      </c>
      <c r="T10">
        <v>0.82920110192837471</v>
      </c>
      <c r="U10">
        <v>0</v>
      </c>
      <c r="V10">
        <v>-0.14912280701754391</v>
      </c>
      <c r="W10">
        <v>0</v>
      </c>
      <c r="X10">
        <v>0.534965034965035</v>
      </c>
      <c r="Y10">
        <v>0.46178343949044592</v>
      </c>
      <c r="Z10">
        <v>0</v>
      </c>
    </row>
    <row r="11" spans="1:26" x14ac:dyDescent="0.25">
      <c r="A11" s="1">
        <v>12</v>
      </c>
      <c r="B11">
        <v>-4.4378698224852072E-3</v>
      </c>
      <c r="C11">
        <v>-0.48120300751879702</v>
      </c>
      <c r="D11">
        <v>-0.2275132275132275</v>
      </c>
      <c r="E11">
        <v>0</v>
      </c>
      <c r="F11">
        <v>0</v>
      </c>
      <c r="G11">
        <v>-3.4985422740524783E-2</v>
      </c>
      <c r="H11">
        <v>0</v>
      </c>
      <c r="I11">
        <v>-0.2439613526570048</v>
      </c>
      <c r="J11">
        <v>0</v>
      </c>
      <c r="K11">
        <v>0</v>
      </c>
      <c r="L11">
        <v>0</v>
      </c>
      <c r="M11">
        <v>0</v>
      </c>
      <c r="N11">
        <v>0.19054054054054051</v>
      </c>
      <c r="O11">
        <v>0</v>
      </c>
      <c r="P11">
        <v>0</v>
      </c>
      <c r="Q11">
        <v>-0.2153846153846154</v>
      </c>
      <c r="R11">
        <v>0.109375</v>
      </c>
      <c r="S11">
        <v>0</v>
      </c>
      <c r="T11">
        <v>-0.16115702479338839</v>
      </c>
      <c r="U11">
        <v>0</v>
      </c>
      <c r="V11">
        <v>-0.65350877192982459</v>
      </c>
      <c r="W11">
        <v>0</v>
      </c>
      <c r="X11">
        <v>-0.29020979020979021</v>
      </c>
      <c r="Y11">
        <v>-0.19426751592356689</v>
      </c>
      <c r="Z11">
        <v>0</v>
      </c>
    </row>
    <row r="12" spans="1:26" x14ac:dyDescent="0.25">
      <c r="A12" s="1">
        <v>15</v>
      </c>
      <c r="B12">
        <v>1.183431952662722E-2</v>
      </c>
      <c r="C12">
        <v>-0.43107769423558889</v>
      </c>
      <c r="D12">
        <v>-0.46560846560846558</v>
      </c>
      <c r="E12">
        <v>0.6442622950819672</v>
      </c>
      <c r="F12">
        <v>0.2107843137254902</v>
      </c>
      <c r="G12">
        <v>-1.8950437317784261E-2</v>
      </c>
      <c r="H12">
        <v>0</v>
      </c>
      <c r="I12">
        <v>-0.23067632850241551</v>
      </c>
      <c r="J12">
        <v>-0.43421052631578949</v>
      </c>
      <c r="K12">
        <v>0.13084112149532709</v>
      </c>
      <c r="L12">
        <v>0</v>
      </c>
      <c r="M12">
        <v>0</v>
      </c>
      <c r="N12">
        <v>0.16351351351351351</v>
      </c>
      <c r="O12">
        <v>0</v>
      </c>
      <c r="P12">
        <v>-1.7361111111111108E-2</v>
      </c>
      <c r="Q12">
        <v>-8.7179487179487175E-2</v>
      </c>
      <c r="R12">
        <v>0.33437499999999998</v>
      </c>
      <c r="S12">
        <v>0</v>
      </c>
      <c r="T12">
        <v>-0.35537190082644632</v>
      </c>
      <c r="U12">
        <v>6.741573033707865E-2</v>
      </c>
      <c r="V12">
        <v>-0.48830409356725152</v>
      </c>
      <c r="W12">
        <v>-0.48756218905472642</v>
      </c>
      <c r="X12">
        <v>-0.25699300699300698</v>
      </c>
      <c r="Y12">
        <v>0.1098726114649682</v>
      </c>
      <c r="Z12">
        <v>0</v>
      </c>
    </row>
    <row r="13" spans="1:26" x14ac:dyDescent="0.25">
      <c r="A13" s="1">
        <v>4</v>
      </c>
      <c r="B13">
        <v>0.53402366863905326</v>
      </c>
      <c r="C13">
        <v>0.23308270676691731</v>
      </c>
      <c r="D13">
        <v>0.14814814814814811</v>
      </c>
      <c r="E13">
        <v>1.0868852459016389</v>
      </c>
      <c r="F13">
        <v>0.38725490196078433</v>
      </c>
      <c r="G13">
        <v>0.33673469387755101</v>
      </c>
      <c r="H13">
        <v>0.51057401812688818</v>
      </c>
      <c r="I13">
        <v>0.32729468599033817</v>
      </c>
      <c r="J13">
        <v>0.18552631578947371</v>
      </c>
      <c r="K13">
        <v>0.73520249221183798</v>
      </c>
      <c r="L13">
        <v>0.53220858895705525</v>
      </c>
      <c r="M13">
        <v>0</v>
      </c>
      <c r="N13">
        <v>0.57702702702702702</v>
      </c>
      <c r="O13">
        <v>0.3716216216216216</v>
      </c>
      <c r="P13">
        <v>0.31770833333333331</v>
      </c>
      <c r="Q13">
        <v>0.4217948717948718</v>
      </c>
      <c r="R13">
        <v>0.69687500000000002</v>
      </c>
      <c r="S13">
        <v>0</v>
      </c>
      <c r="T13">
        <v>0.58815426997245179</v>
      </c>
      <c r="U13">
        <v>0.6306179775280899</v>
      </c>
      <c r="V13">
        <v>0.13450292397660821</v>
      </c>
      <c r="W13">
        <v>-4.4776119402985072E-2</v>
      </c>
      <c r="X13">
        <v>0.55069930069930073</v>
      </c>
      <c r="Y13">
        <v>0.72611464968152861</v>
      </c>
      <c r="Z13">
        <v>0.33886255924170622</v>
      </c>
    </row>
    <row r="14" spans="1:26" x14ac:dyDescent="0.25">
      <c r="A14" s="1">
        <v>19</v>
      </c>
      <c r="B14">
        <v>0.14940828402366871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0.13437499999999999</v>
      </c>
      <c r="S14">
        <v>0</v>
      </c>
      <c r="T14">
        <v>0</v>
      </c>
      <c r="U14">
        <v>0</v>
      </c>
      <c r="V14">
        <v>-0.43567251461988299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s="1">
        <v>20</v>
      </c>
      <c r="B15">
        <v>0.62278106508875741</v>
      </c>
      <c r="C15">
        <v>0.40977443609022562</v>
      </c>
      <c r="D15">
        <v>-7.1428571428571425E-2</v>
      </c>
      <c r="E15">
        <v>1.1819672131147541</v>
      </c>
      <c r="F15">
        <v>1.1985294117647061</v>
      </c>
      <c r="G15">
        <v>0.73760932944606417</v>
      </c>
      <c r="H15">
        <v>0</v>
      </c>
      <c r="I15">
        <v>0.37439613526570048</v>
      </c>
      <c r="J15">
        <v>0.2013157894736842</v>
      </c>
      <c r="K15">
        <v>0.73520249221183798</v>
      </c>
      <c r="L15">
        <v>0.9524539877300614</v>
      </c>
      <c r="M15">
        <v>0</v>
      </c>
      <c r="N15">
        <v>0.68918918918918914</v>
      </c>
      <c r="O15">
        <v>0</v>
      </c>
      <c r="P15">
        <v>0.96354166666666663</v>
      </c>
      <c r="Q15">
        <v>0.76282051282051277</v>
      </c>
      <c r="R15">
        <v>0.4296875</v>
      </c>
      <c r="S15">
        <v>0</v>
      </c>
      <c r="T15">
        <v>0.4366391184573003</v>
      </c>
      <c r="U15">
        <v>0.9508426966292135</v>
      </c>
      <c r="V15">
        <v>4.3859649122807024E-3</v>
      </c>
      <c r="W15">
        <v>0.16044776119402979</v>
      </c>
      <c r="X15">
        <v>0.26048951048951052</v>
      </c>
      <c r="Y15">
        <v>0.4426751592356688</v>
      </c>
      <c r="Z15">
        <v>0.16113744075829381</v>
      </c>
    </row>
    <row r="16" spans="1:26" x14ac:dyDescent="0.25">
      <c r="A16" s="1">
        <v>10</v>
      </c>
      <c r="B16">
        <v>0.60355029585798814</v>
      </c>
      <c r="C16">
        <v>0.1203007518796992</v>
      </c>
      <c r="D16">
        <v>0.2724867724867725</v>
      </c>
      <c r="E16">
        <v>0</v>
      </c>
      <c r="F16">
        <v>0</v>
      </c>
      <c r="G16">
        <v>0.53790087463556846</v>
      </c>
      <c r="H16">
        <v>0</v>
      </c>
      <c r="I16">
        <v>0.19806763285024151</v>
      </c>
      <c r="J16">
        <v>0.14736842105263159</v>
      </c>
      <c r="K16">
        <v>0.93457943925233644</v>
      </c>
      <c r="L16">
        <v>0</v>
      </c>
      <c r="M16">
        <v>0</v>
      </c>
      <c r="N16">
        <v>0.57162162162162167</v>
      </c>
      <c r="O16">
        <v>0</v>
      </c>
      <c r="P16">
        <v>0</v>
      </c>
      <c r="Q16">
        <v>0.39871794871794869</v>
      </c>
      <c r="R16">
        <v>0.78125</v>
      </c>
      <c r="S16">
        <v>0</v>
      </c>
      <c r="T16">
        <v>0.13498622589531681</v>
      </c>
      <c r="U16">
        <v>0</v>
      </c>
      <c r="V16">
        <v>0</v>
      </c>
      <c r="W16">
        <v>0</v>
      </c>
      <c r="X16">
        <v>0.42132867132867141</v>
      </c>
      <c r="Y16">
        <v>0.60987261146496818</v>
      </c>
      <c r="Z16">
        <v>0</v>
      </c>
    </row>
    <row r="17" spans="1:26" x14ac:dyDescent="0.25">
      <c r="A17" s="1">
        <v>14</v>
      </c>
      <c r="B17">
        <v>0.36686390532544377</v>
      </c>
      <c r="C17">
        <v>-7.1428571428571425E-2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0.55000000000000004</v>
      </c>
      <c r="O17">
        <v>0</v>
      </c>
      <c r="P17">
        <v>0</v>
      </c>
      <c r="Q17">
        <v>0</v>
      </c>
      <c r="R17">
        <v>0.359375</v>
      </c>
      <c r="S17">
        <v>0</v>
      </c>
      <c r="T17">
        <v>0</v>
      </c>
      <c r="U17">
        <v>0</v>
      </c>
      <c r="V17">
        <v>-0.25730994152046782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s="1">
        <v>3</v>
      </c>
      <c r="B18">
        <v>4.7337278106508868E-2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-0.4371345029239766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s="1">
        <v>16</v>
      </c>
      <c r="B19">
        <v>0.94674556213017746</v>
      </c>
      <c r="C19">
        <v>0.49874686716791983</v>
      </c>
      <c r="D19">
        <v>0.35714285714285721</v>
      </c>
      <c r="E19">
        <v>1.8360655737704921</v>
      </c>
      <c r="F19">
        <v>0.82843137254901966</v>
      </c>
      <c r="G19">
        <v>1.1501457725947519</v>
      </c>
      <c r="H19">
        <v>1.019637462235649</v>
      </c>
      <c r="I19">
        <v>0.89613526570048307</v>
      </c>
      <c r="J19">
        <v>0.81052631578947365</v>
      </c>
      <c r="K19">
        <v>1.2414330218068541</v>
      </c>
      <c r="L19">
        <v>1.24079754601227</v>
      </c>
      <c r="M19">
        <v>0.7665847665847666</v>
      </c>
      <c r="N19">
        <v>1.1621621621621621</v>
      </c>
      <c r="O19">
        <v>0.5427927927927928</v>
      </c>
      <c r="P19">
        <v>0.91666666666666663</v>
      </c>
      <c r="Q19">
        <v>1.2423076923076919</v>
      </c>
      <c r="R19">
        <v>0.984375</v>
      </c>
      <c r="S19">
        <v>0</v>
      </c>
      <c r="T19">
        <v>0.65564738292011016</v>
      </c>
      <c r="U19">
        <v>1.473314606741573</v>
      </c>
      <c r="V19">
        <v>0.40497076023391809</v>
      </c>
      <c r="W19">
        <v>0.62313432835820892</v>
      </c>
      <c r="X19">
        <v>0.80594405594405594</v>
      </c>
      <c r="Y19">
        <v>0.99363057324840764</v>
      </c>
      <c r="Z19">
        <v>0.78199052132701419</v>
      </c>
    </row>
    <row r="20" spans="1:26" x14ac:dyDescent="0.25">
      <c r="A20" s="1">
        <v>21</v>
      </c>
      <c r="B20">
        <v>0.55325443786982254</v>
      </c>
      <c r="C20">
        <v>0.1992481203007519</v>
      </c>
      <c r="D20">
        <v>0</v>
      </c>
      <c r="E20">
        <v>0</v>
      </c>
      <c r="F20">
        <v>0</v>
      </c>
      <c r="G20">
        <v>0.62973760932944611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0.50135135135135134</v>
      </c>
      <c r="O20">
        <v>0</v>
      </c>
      <c r="P20">
        <v>0</v>
      </c>
      <c r="Q20">
        <v>0.75641025641025639</v>
      </c>
      <c r="R20">
        <v>0.44843749999999999</v>
      </c>
      <c r="S20">
        <v>0</v>
      </c>
      <c r="T20">
        <v>0</v>
      </c>
      <c r="U20">
        <v>0</v>
      </c>
      <c r="V20">
        <v>-0.1505847953216374</v>
      </c>
      <c r="W20">
        <v>0</v>
      </c>
      <c r="X20">
        <v>0</v>
      </c>
      <c r="Y20">
        <v>0.25796178343949039</v>
      </c>
      <c r="Z20">
        <v>0</v>
      </c>
    </row>
    <row r="21" spans="1:26" x14ac:dyDescent="0.25">
      <c r="A21" s="1">
        <v>18</v>
      </c>
      <c r="B21">
        <v>-0.1079881656804734</v>
      </c>
      <c r="C21">
        <v>-0.38596491228070168</v>
      </c>
      <c r="D21">
        <v>-0.74867724867724872</v>
      </c>
      <c r="E21">
        <v>0</v>
      </c>
      <c r="F21">
        <v>-0.49019607843137247</v>
      </c>
      <c r="G21">
        <v>-8.0174927113702624E-2</v>
      </c>
      <c r="H21">
        <v>0</v>
      </c>
      <c r="I21">
        <v>-0.45893719806763278</v>
      </c>
      <c r="J21">
        <v>-0.50263157894736843</v>
      </c>
      <c r="K21">
        <v>0.1900311526479751</v>
      </c>
      <c r="L21">
        <v>0</v>
      </c>
      <c r="M21">
        <v>0</v>
      </c>
      <c r="N21">
        <v>-0.16621621621621621</v>
      </c>
      <c r="O21">
        <v>0</v>
      </c>
      <c r="P21">
        <v>-0.34027777777777779</v>
      </c>
      <c r="Q21">
        <v>-0.141025641025641</v>
      </c>
      <c r="R21">
        <v>-4.5312499999999999E-2</v>
      </c>
      <c r="S21">
        <v>0</v>
      </c>
      <c r="T21">
        <v>-0.36776859504132231</v>
      </c>
      <c r="U21">
        <v>0</v>
      </c>
      <c r="V21">
        <v>-0.67836257309941517</v>
      </c>
      <c r="W21">
        <v>0</v>
      </c>
      <c r="X21">
        <v>-0.4825174825174825</v>
      </c>
      <c r="Y21">
        <v>-5.7324840764331211E-2</v>
      </c>
      <c r="Z21">
        <v>0</v>
      </c>
    </row>
    <row r="22" spans="1:26" x14ac:dyDescent="0.25">
      <c r="A22" s="1">
        <v>28</v>
      </c>
      <c r="B22">
        <v>0.79585798816568043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1">
        <v>24</v>
      </c>
      <c r="B23">
        <v>0.44674556213017752</v>
      </c>
      <c r="C23">
        <v>0.24436090225563911</v>
      </c>
      <c r="D23">
        <v>-2.9100529100529099E-2</v>
      </c>
      <c r="E23">
        <v>0</v>
      </c>
      <c r="F23">
        <v>0.49019607843137247</v>
      </c>
      <c r="G23">
        <v>0.80466472303206993</v>
      </c>
      <c r="H23">
        <v>0</v>
      </c>
      <c r="I23">
        <v>0.59420289855072461</v>
      </c>
      <c r="J23">
        <v>0.31447368421052629</v>
      </c>
      <c r="K23">
        <v>1.0109034267912771</v>
      </c>
      <c r="L23">
        <v>0</v>
      </c>
      <c r="M23">
        <v>0</v>
      </c>
      <c r="N23">
        <v>0.85135135135135132</v>
      </c>
      <c r="O23">
        <v>0</v>
      </c>
      <c r="P23">
        <v>0.54166666666666663</v>
      </c>
      <c r="Q23">
        <v>0.7</v>
      </c>
      <c r="R23">
        <v>0.71875</v>
      </c>
      <c r="S23">
        <v>0</v>
      </c>
      <c r="T23">
        <v>0.66942148760330578</v>
      </c>
      <c r="U23">
        <v>1.151685393258427</v>
      </c>
      <c r="V23">
        <v>-7.8947368421052627E-2</v>
      </c>
      <c r="W23">
        <v>0</v>
      </c>
      <c r="X23">
        <v>0.47027972027972031</v>
      </c>
      <c r="Y23">
        <v>0.87579617834394907</v>
      </c>
      <c r="Z23">
        <v>0</v>
      </c>
    </row>
    <row r="24" spans="1:26" x14ac:dyDescent="0.25">
      <c r="A24" s="1">
        <v>6</v>
      </c>
      <c r="B24">
        <v>0.46005917159763321</v>
      </c>
      <c r="C24">
        <v>0.14160401002506259</v>
      </c>
      <c r="D24">
        <v>0.14285714285714279</v>
      </c>
      <c r="E24">
        <v>0</v>
      </c>
      <c r="F24">
        <v>0</v>
      </c>
      <c r="G24">
        <v>0.814868804664723</v>
      </c>
      <c r="H24">
        <v>0</v>
      </c>
      <c r="I24">
        <v>0.71859903381642509</v>
      </c>
      <c r="J24">
        <v>0</v>
      </c>
      <c r="K24">
        <v>0</v>
      </c>
      <c r="L24">
        <v>0</v>
      </c>
      <c r="M24">
        <v>0</v>
      </c>
      <c r="N24">
        <v>0.62702702702702706</v>
      </c>
      <c r="O24">
        <v>0</v>
      </c>
      <c r="P24">
        <v>0</v>
      </c>
      <c r="Q24">
        <v>0.98076923076923073</v>
      </c>
      <c r="R24">
        <v>0.484375</v>
      </c>
      <c r="S24">
        <v>0</v>
      </c>
      <c r="T24">
        <v>0.24655647382920109</v>
      </c>
      <c r="U24">
        <v>0</v>
      </c>
      <c r="V24">
        <v>-9.7953216374269E-2</v>
      </c>
      <c r="W24">
        <v>0</v>
      </c>
      <c r="X24">
        <v>0</v>
      </c>
      <c r="Y24">
        <v>0.60987261146496818</v>
      </c>
      <c r="Z24">
        <v>0</v>
      </c>
    </row>
    <row r="25" spans="1:26" x14ac:dyDescent="0.25">
      <c r="A25" s="1">
        <v>27</v>
      </c>
      <c r="B25">
        <v>0.53106508875739644</v>
      </c>
      <c r="C25">
        <v>0.15914786967418551</v>
      </c>
      <c r="D25">
        <v>0</v>
      </c>
      <c r="E25">
        <v>0</v>
      </c>
      <c r="F25">
        <v>0</v>
      </c>
      <c r="G25">
        <v>0.88483965014577259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0.52702702702702697</v>
      </c>
      <c r="O25">
        <v>0</v>
      </c>
      <c r="P25">
        <v>0</v>
      </c>
      <c r="Q25">
        <v>0.72820512820512817</v>
      </c>
      <c r="R25">
        <v>0.54374999999999996</v>
      </c>
      <c r="S25">
        <v>0</v>
      </c>
      <c r="T25">
        <v>0</v>
      </c>
      <c r="U25">
        <v>0</v>
      </c>
      <c r="V25">
        <v>4.3859649122807024E-3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s="1">
        <v>29</v>
      </c>
      <c r="B26">
        <v>1.016272189349112</v>
      </c>
      <c r="C26">
        <v>0.62155388471177941</v>
      </c>
      <c r="D26">
        <v>0.20370370370370369</v>
      </c>
      <c r="E26">
        <v>1.334426229508197</v>
      </c>
      <c r="F26">
        <v>0.90931372549019607</v>
      </c>
      <c r="G26">
        <v>1.227405247813411</v>
      </c>
      <c r="H26">
        <v>0</v>
      </c>
      <c r="I26">
        <v>0.58816425120772942</v>
      </c>
      <c r="J26">
        <v>0.67236842105263162</v>
      </c>
      <c r="K26">
        <v>0.98130841121495327</v>
      </c>
      <c r="L26">
        <v>1.0398773006134969</v>
      </c>
      <c r="M26">
        <v>0</v>
      </c>
      <c r="N26">
        <v>0.56891891891891888</v>
      </c>
      <c r="O26">
        <v>0</v>
      </c>
      <c r="P26">
        <v>0.90625</v>
      </c>
      <c r="Q26">
        <v>1.0192307692307689</v>
      </c>
      <c r="R26">
        <v>0.80937499999999996</v>
      </c>
      <c r="S26">
        <v>0</v>
      </c>
      <c r="T26">
        <v>7.7134986225895319E-2</v>
      </c>
      <c r="U26">
        <v>1.26685393258427</v>
      </c>
      <c r="V26">
        <v>0.2807017543859649</v>
      </c>
      <c r="W26">
        <v>0.5149253731343284</v>
      </c>
      <c r="X26">
        <v>0.49475524475524468</v>
      </c>
      <c r="Y26">
        <v>0.7579617834394905</v>
      </c>
      <c r="Z2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binary_matrix</vt:lpstr>
      <vt:lpstr>Sheet1</vt:lpstr>
      <vt:lpstr>Sheet2</vt:lpstr>
      <vt:lpstr>direct_sim_converted</vt:lpstr>
      <vt:lpstr>direct_deg_converted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2026-01-03T17:10:51Z</dcterms:created>
  <dcterms:modified xsi:type="dcterms:W3CDTF">2026-01-26T17:59:52Z</dcterms:modified>
</cp:coreProperties>
</file>